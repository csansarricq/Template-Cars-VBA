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6963e2db38d58d8/Documents/VBA Library/"/>
    </mc:Choice>
  </mc:AlternateContent>
  <xr:revisionPtr revIDLastSave="139" documentId="8_{1E0E9344-E6E8-411E-9407-42A5B6B631B6}" xr6:coauthVersionLast="47" xr6:coauthVersionMax="47" xr10:uidLastSave="{D675D1BE-A2E5-4116-8068-F09DF799FE18}"/>
  <bookViews>
    <workbookView xWindow="-120" yWindow="-120" windowWidth="23280" windowHeight="14880" activeTab="1" xr2:uid="{061F6478-31DF-4BED-B7CE-E257A8D9D04A}"/>
  </bookViews>
  <sheets>
    <sheet name="Report" sheetId="1" r:id="rId1"/>
    <sheet name="Analysi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  <c r="L4" i="2"/>
  <c r="M4" i="2"/>
  <c r="N4" i="2"/>
  <c r="O4" i="2"/>
  <c r="J5" i="2"/>
  <c r="L5" i="2"/>
  <c r="M5" i="2"/>
  <c r="N5" i="2"/>
  <c r="O5" i="2"/>
  <c r="K6" i="2"/>
  <c r="L6" i="2"/>
  <c r="M6" i="2"/>
  <c r="N6" i="2"/>
  <c r="O6" i="2"/>
  <c r="C7" i="2"/>
  <c r="O7" i="2" l="1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4" i="2"/>
  <c r="O25" i="2"/>
  <c r="O26" i="2"/>
  <c r="O27" i="2"/>
  <c r="O29" i="2"/>
  <c r="O31" i="2"/>
  <c r="O32" i="2"/>
  <c r="O33" i="2"/>
  <c r="O34" i="2"/>
  <c r="O35" i="2"/>
  <c r="O36" i="2"/>
  <c r="O37" i="2"/>
  <c r="O38" i="2"/>
  <c r="O39" i="2"/>
  <c r="O40" i="2"/>
  <c r="O42" i="2"/>
  <c r="O43" i="2"/>
  <c r="O45" i="2"/>
  <c r="O46" i="2"/>
  <c r="O48" i="2"/>
  <c r="O49" i="2"/>
  <c r="O50" i="2"/>
  <c r="O51" i="2"/>
  <c r="O52" i="2"/>
  <c r="O53" i="2"/>
  <c r="L7" i="2"/>
  <c r="L8" i="2"/>
  <c r="L9" i="2"/>
  <c r="L16" i="2"/>
  <c r="L17" i="2"/>
  <c r="L18" i="2"/>
  <c r="L19" i="2"/>
  <c r="L20" i="2"/>
  <c r="L21" i="2"/>
  <c r="L22" i="2"/>
  <c r="L23" i="2"/>
  <c r="L28" i="2"/>
  <c r="L30" i="2"/>
  <c r="L31" i="2"/>
  <c r="L32" i="2"/>
  <c r="L33" i="2"/>
  <c r="L34" i="2"/>
  <c r="L35" i="2"/>
  <c r="L36" i="2"/>
  <c r="L37" i="2"/>
  <c r="L38" i="2"/>
  <c r="L40" i="2"/>
  <c r="L41" i="2"/>
  <c r="L42" i="2"/>
  <c r="L43" i="2"/>
  <c r="L44" i="2"/>
  <c r="L45" i="2"/>
  <c r="L46" i="2"/>
  <c r="L47" i="2"/>
  <c r="L48" i="2"/>
  <c r="L49" i="2"/>
  <c r="L53" i="2"/>
  <c r="N7" i="2"/>
  <c r="N8" i="2"/>
  <c r="N9" i="2"/>
  <c r="N10" i="2"/>
  <c r="N11" i="2"/>
  <c r="N12" i="2"/>
  <c r="N13" i="2"/>
  <c r="N14" i="2"/>
  <c r="N15" i="2"/>
  <c r="N16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1" i="2"/>
  <c r="N42" i="2"/>
  <c r="N44" i="2"/>
  <c r="N45" i="2"/>
  <c r="N47" i="2"/>
  <c r="N48" i="2"/>
  <c r="N50" i="2"/>
  <c r="N51" i="2"/>
  <c r="N52" i="2"/>
  <c r="N53" i="2"/>
  <c r="M7" i="2"/>
  <c r="M8" i="2"/>
  <c r="M9" i="2"/>
  <c r="M10" i="2"/>
  <c r="M11" i="2"/>
  <c r="M12" i="2"/>
  <c r="M13" i="2"/>
  <c r="M14" i="2"/>
  <c r="M15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K8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J7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3" i="2"/>
  <c r="J44" i="2"/>
  <c r="J46" i="2"/>
  <c r="J47" i="2"/>
  <c r="J49" i="2"/>
  <c r="J50" i="2"/>
  <c r="J51" i="2"/>
  <c r="J52" i="2"/>
  <c r="J53" i="2"/>
  <c r="C5" i="2"/>
  <c r="K5" i="2" s="1"/>
  <c r="C6" i="2"/>
  <c r="J6" i="2" s="1"/>
  <c r="K7" i="2"/>
  <c r="C8" i="2"/>
  <c r="J8" i="2" s="1"/>
  <c r="C9" i="2"/>
  <c r="K9" i="2" s="1"/>
  <c r="C10" i="2"/>
  <c r="L10" i="2" s="1"/>
  <c r="C11" i="2"/>
  <c r="L11" i="2" s="1"/>
  <c r="C12" i="2"/>
  <c r="L12" i="2" s="1"/>
  <c r="C13" i="2"/>
  <c r="L13" i="2" s="1"/>
  <c r="C14" i="2"/>
  <c r="L14" i="2" s="1"/>
  <c r="C15" i="2"/>
  <c r="L15" i="2" s="1"/>
  <c r="C16" i="2"/>
  <c r="M16" i="2" s="1"/>
  <c r="C17" i="2"/>
  <c r="N17" i="2" s="1"/>
  <c r="C18" i="2"/>
  <c r="N18" i="2" s="1"/>
  <c r="C19" i="2"/>
  <c r="N19" i="2" s="1"/>
  <c r="C20" i="2"/>
  <c r="N20" i="2" s="1"/>
  <c r="C21" i="2"/>
  <c r="N21" i="2" s="1"/>
  <c r="C22" i="2"/>
  <c r="N22" i="2" s="1"/>
  <c r="C23" i="2"/>
  <c r="O23" i="2" s="1"/>
  <c r="C24" i="2"/>
  <c r="L24" i="2" s="1"/>
  <c r="C25" i="2"/>
  <c r="L25" i="2" s="1"/>
  <c r="C26" i="2"/>
  <c r="L26" i="2" s="1"/>
  <c r="C27" i="2"/>
  <c r="L27" i="2" s="1"/>
  <c r="C28" i="2"/>
  <c r="O28" i="2" s="1"/>
  <c r="C29" i="2"/>
  <c r="L29" i="2" s="1"/>
  <c r="C30" i="2"/>
  <c r="O30" i="2" s="1"/>
  <c r="C31" i="2"/>
  <c r="K31" i="2" s="1"/>
  <c r="C32" i="2"/>
  <c r="K32" i="2" s="1"/>
  <c r="C33" i="2"/>
  <c r="K33" i="2" s="1"/>
  <c r="C34" i="2"/>
  <c r="K34" i="2" s="1"/>
  <c r="C35" i="2"/>
  <c r="K35" i="2" s="1"/>
  <c r="C36" i="2"/>
  <c r="K36" i="2" s="1"/>
  <c r="C37" i="2"/>
  <c r="C38" i="2"/>
  <c r="M38" i="2" s="1"/>
  <c r="C39" i="2"/>
  <c r="L39" i="2" s="1"/>
  <c r="C40" i="2"/>
  <c r="N40" i="2" s="1"/>
  <c r="C41" i="2"/>
  <c r="O41" i="2" s="1"/>
  <c r="C42" i="2"/>
  <c r="J42" i="2" s="1"/>
  <c r="C43" i="2"/>
  <c r="N43" i="2" s="1"/>
  <c r="C44" i="2"/>
  <c r="O44" i="2" s="1"/>
  <c r="C45" i="2"/>
  <c r="J45" i="2" s="1"/>
  <c r="C46" i="2"/>
  <c r="N46" i="2" s="1"/>
  <c r="C47" i="2"/>
  <c r="O47" i="2" s="1"/>
  <c r="C48" i="2"/>
  <c r="C49" i="2"/>
  <c r="C50" i="2"/>
  <c r="L50" i="2" s="1"/>
  <c r="C51" i="2"/>
  <c r="L51" i="2" s="1"/>
  <c r="C52" i="2"/>
  <c r="L52" i="2" s="1"/>
  <c r="C53" i="2"/>
  <c r="C4" i="2"/>
  <c r="J4" i="2" s="1"/>
  <c r="W4" i="2" a="1"/>
  <c r="Q4" i="2" a="1"/>
  <c r="S4" i="2" a="1"/>
  <c r="T4" i="2" a="1"/>
  <c r="R4" i="2" a="1"/>
  <c r="Z12" i="2" a="1"/>
  <c r="AE4" i="2" l="1" a="1"/>
  <c r="AE6" i="2" s="1"/>
  <c r="R4" i="2"/>
  <c r="S4" i="2"/>
  <c r="T4" i="2"/>
  <c r="Q4" i="2"/>
  <c r="Q12" i="2"/>
  <c r="Q20" i="2"/>
  <c r="Q28" i="2"/>
  <c r="Q36" i="2"/>
  <c r="Q44" i="2"/>
  <c r="Q52" i="2"/>
  <c r="Q5" i="2"/>
  <c r="Q13" i="2"/>
  <c r="Q21" i="2"/>
  <c r="Q29" i="2"/>
  <c r="Q37" i="2"/>
  <c r="Q45" i="2"/>
  <c r="Q53" i="2"/>
  <c r="Q6" i="2"/>
  <c r="Q14" i="2"/>
  <c r="Q22" i="2"/>
  <c r="Q30" i="2"/>
  <c r="Q38" i="2"/>
  <c r="Q46" i="2"/>
  <c r="Q7" i="2"/>
  <c r="Q15" i="2"/>
  <c r="Q23" i="2"/>
  <c r="Q31" i="2"/>
  <c r="Q39" i="2"/>
  <c r="Q47" i="2"/>
  <c r="Q8" i="2"/>
  <c r="Q16" i="2"/>
  <c r="Q24" i="2"/>
  <c r="Q32" i="2"/>
  <c r="Q40" i="2"/>
  <c r="Q9" i="2"/>
  <c r="Q17" i="2"/>
  <c r="Q25" i="2"/>
  <c r="Q33" i="2"/>
  <c r="Q41" i="2"/>
  <c r="Q49" i="2"/>
  <c r="Q10" i="2"/>
  <c r="Q18" i="2"/>
  <c r="Q26" i="2"/>
  <c r="Q34" i="2"/>
  <c r="Q42" i="2"/>
  <c r="Q50" i="2"/>
  <c r="Q11" i="2"/>
  <c r="Q19" i="2"/>
  <c r="Q27" i="2"/>
  <c r="Q35" i="2"/>
  <c r="Q43" i="2"/>
  <c r="Q51" i="2"/>
  <c r="Q48" i="2"/>
  <c r="W4" i="2"/>
  <c r="W5" i="2"/>
  <c r="W6" i="2"/>
  <c r="W7" i="2"/>
  <c r="AB4" i="2" a="1"/>
  <c r="AB12" i="2"/>
  <c r="AA12" i="2"/>
  <c r="AC12" i="2"/>
  <c r="Z12" i="2"/>
  <c r="N49" i="2"/>
  <c r="AD4" i="2" s="1" a="1"/>
  <c r="M53" i="2"/>
  <c r="AC4" i="2" s="1" a="1"/>
  <c r="K37" i="2"/>
  <c r="AA4" i="2" s="1" a="1"/>
  <c r="J48" i="2"/>
  <c r="Z4" i="2" s="1" a="1"/>
  <c r="AE5" i="2" l="1"/>
  <c r="AE4" i="2"/>
  <c r="AE7" i="2"/>
  <c r="Z7" i="2"/>
  <c r="Z6" i="2"/>
  <c r="Z4" i="2"/>
  <c r="Z5" i="2"/>
  <c r="D5" i="1" s="1" a="1"/>
  <c r="E5" i="1" s="1"/>
  <c r="AD4" i="2"/>
  <c r="AD5" i="2"/>
  <c r="AD7" i="2"/>
  <c r="AD6" i="2"/>
  <c r="AC6" i="2"/>
  <c r="AC7" i="2"/>
  <c r="AC4" i="2"/>
  <c r="AC5" i="2"/>
  <c r="AA4" i="2"/>
  <c r="D6" i="1" s="1" a="1"/>
  <c r="E6" i="1" s="1"/>
  <c r="AA6" i="2"/>
  <c r="AA7" i="2"/>
  <c r="AA5" i="2"/>
  <c r="AB5" i="2"/>
  <c r="AB4" i="2"/>
  <c r="AB6" i="2"/>
  <c r="AB7" i="2"/>
  <c r="D8" i="1" a="1"/>
  <c r="F8" i="1" s="1"/>
  <c r="D10" i="1" l="1" a="1"/>
  <c r="F10" i="1" s="1"/>
  <c r="D7" i="1" a="1"/>
  <c r="E7" i="1" s="1"/>
  <c r="D9" i="1" a="1"/>
  <c r="F9" i="1" s="1"/>
  <c r="D6" i="1"/>
  <c r="G8" i="1"/>
  <c r="E8" i="1"/>
  <c r="D8" i="1"/>
  <c r="G6" i="1"/>
  <c r="F6" i="1"/>
  <c r="E10" i="1"/>
  <c r="D5" i="1"/>
  <c r="G5" i="1"/>
  <c r="F5" i="1"/>
  <c r="D10" i="1" l="1"/>
  <c r="G10" i="1"/>
  <c r="G7" i="1"/>
  <c r="F7" i="1"/>
  <c r="F11" i="1" s="1"/>
  <c r="D7" i="1"/>
  <c r="G9" i="1"/>
  <c r="G11" i="1" s="1"/>
  <c r="D9" i="1"/>
  <c r="E9" i="1"/>
  <c r="E11" i="1" s="1"/>
  <c r="D11" i="1" l="1"/>
  <c r="I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<sst xmlns="http://schemas.openxmlformats.org/spreadsheetml/2006/main" count="137" uniqueCount="23">
  <si>
    <t>No.</t>
  </si>
  <si>
    <t>(0-49%)</t>
  </si>
  <si>
    <t>(50-79%)</t>
  </si>
  <si>
    <t>(80-94%)</t>
  </si>
  <si>
    <t>(95-100%)</t>
  </si>
  <si>
    <t># of cars</t>
  </si>
  <si>
    <t>Cars</t>
  </si>
  <si>
    <t xml:space="preserve"> Crash Rating</t>
  </si>
  <si>
    <t xml:space="preserve">Toyota </t>
  </si>
  <si>
    <t>Mercedes</t>
  </si>
  <si>
    <t>Honda, Subaru, Ford</t>
  </si>
  <si>
    <t>Lexus</t>
  </si>
  <si>
    <t>Audi</t>
  </si>
  <si>
    <t>Honda</t>
  </si>
  <si>
    <t>Bmw</t>
  </si>
  <si>
    <t>Ford</t>
  </si>
  <si>
    <t>Subaru</t>
  </si>
  <si>
    <t>Bmw, Porsche</t>
  </si>
  <si>
    <t>Porsche</t>
  </si>
  <si>
    <t>Total</t>
  </si>
  <si>
    <t>Toyota</t>
  </si>
  <si>
    <t xml:space="preserve"> VBA Table</t>
  </si>
  <si>
    <t>Stagnant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</si>
</sst>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5" xfId="0" applyFont="1" applyBorder="1" applyAlignment="1">
      <alignment vertical="center"/>
    </xf>
    <xf numFmtId="0" fontId="2" fillId="0" borderId="0" xfId="0" applyFont="1"/>
    <xf numFmtId="0" fontId="2" fillId="0" borderId="6" xfId="0" applyFont="1" applyBorder="1" applyAlignment="1">
      <alignment horizontal="center" vertical="center" wrapText="1"/>
    </xf>
    <xf numFmtId="0" fontId="0" fillId="0" borderId="9" xfId="0" applyBorder="1"/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164" fontId="0" fillId="0" borderId="0" xfId="0" applyNumberFormat="1"/>
    <xf numFmtId="0" fontId="2" fillId="0" borderId="0" xfId="0" applyFont="1" applyAlignment="1">
      <alignment vertical="center"/>
    </xf>
    <xf numFmtId="164" fontId="0" fillId="0" borderId="9" xfId="0" applyNumberFormat="1" applyBorder="1"/>
    <xf numFmtId="0" fontId="1" fillId="0" borderId="0" xfId="0" applyFont="1" applyAlignment="1">
      <alignment horizontal="right"/>
    </xf>
    <xf numFmtId="0" fontId="1" fillId="0" borderId="9" xfId="0" applyFont="1" applyBorder="1"/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A1750-1BF5-4420-A428-FD9F1C33134D}">
  <sheetPr codeName="Sheet1"/>
  <dimension ref="A2:I15"/>
  <sheetViews>
    <sheetView showGridLines="0" zoomScale="120" zoomScaleNormal="120" workbookViewId="0">
      <selection activeCell="B20" sqref="B20"/>
    </sheetView>
  </sheetViews>
  <sheetFormatPr defaultRowHeight="15" x14ac:dyDescent="0.25"/>
  <cols>
    <col min="2" max="2" width="38.42578125" customWidth="1"/>
    <col min="3" max="3" width="10" customWidth="1"/>
    <col min="6" max="6" width="11.85546875" customWidth="1"/>
    <col min="7" max="7" width="12.7109375" customWidth="1"/>
  </cols>
  <sheetData>
    <row r="2" spans="1:9" ht="15.75" thickBot="1" x14ac:dyDescent="0.3">
      <c r="A2" s="1"/>
    </row>
    <row r="3" spans="1:9" x14ac:dyDescent="0.25">
      <c r="A3" s="19" t="s">
        <v>0</v>
      </c>
      <c r="B3" s="19" t="s">
        <v>6</v>
      </c>
      <c r="C3" s="22" t="s">
        <v>5</v>
      </c>
      <c r="D3" s="16" t="s">
        <v>7</v>
      </c>
      <c r="E3" s="17"/>
      <c r="F3" s="17"/>
      <c r="G3" s="18"/>
    </row>
    <row r="4" spans="1:9" ht="15.75" thickBot="1" x14ac:dyDescent="0.3">
      <c r="A4" s="20"/>
      <c r="B4" s="21"/>
      <c r="C4" s="23"/>
      <c r="D4" s="4" t="s">
        <v>1</v>
      </c>
      <c r="E4" s="4" t="s">
        <v>2</v>
      </c>
      <c r="F4" s="4" t="s">
        <v>3</v>
      </c>
      <c r="G4" s="4" t="s">
        <v>4</v>
      </c>
    </row>
    <row r="5" spans="1:9" ht="15.75" thickBot="1" x14ac:dyDescent="0.3">
      <c r="A5" s="2">
        <v>1</v>
      </c>
      <c r="B5" s="7" t="s">
        <v>8</v>
      </c>
      <c r="C5" s="6"/>
      <c r="D5" s="6">
        <f t="array" aca="1" ref="D5:G5" ca="1">TRANSPOSE(Analysis!Z4:Z7)</f>
        <v>0</v>
      </c>
      <c r="E5" s="6">
        <f ca="1"/>
        <v>2</v>
      </c>
      <c r="F5" s="5">
        <f ca="1"/>
        <v>1</v>
      </c>
      <c r="G5" s="5">
        <f ca="1"/>
        <v>3</v>
      </c>
    </row>
    <row r="6" spans="1:9" ht="15.75" thickBot="1" x14ac:dyDescent="0.3">
      <c r="A6" s="2">
        <v>2</v>
      </c>
      <c r="B6" s="7" t="s">
        <v>9</v>
      </c>
      <c r="C6" s="6"/>
      <c r="D6" s="6">
        <f t="array" aca="1" ref="D6:G6" ca="1">TRANSPOSE(Analysis!AA4:AA7)</f>
        <v>1</v>
      </c>
      <c r="E6" s="6">
        <f ca="1"/>
        <v>1</v>
      </c>
      <c r="F6" s="5">
        <f ca="1"/>
        <v>0</v>
      </c>
      <c r="G6" s="5">
        <f ca="1"/>
        <v>8</v>
      </c>
    </row>
    <row r="7" spans="1:9" ht="15.75" thickBot="1" x14ac:dyDescent="0.3">
      <c r="A7" s="2">
        <v>3</v>
      </c>
      <c r="B7" s="7" t="s">
        <v>10</v>
      </c>
      <c r="C7" s="6"/>
      <c r="D7" s="6">
        <f t="array" aca="1" ref="D7:G7" ca="1">TRANSPOSE(Analysis!AB4:AB7)</f>
        <v>3</v>
      </c>
      <c r="E7" s="6">
        <f ca="1"/>
        <v>3</v>
      </c>
      <c r="F7" s="5">
        <f ca="1"/>
        <v>1</v>
      </c>
      <c r="G7" s="5">
        <f ca="1"/>
        <v>8</v>
      </c>
    </row>
    <row r="8" spans="1:9" ht="15.75" thickBot="1" x14ac:dyDescent="0.3">
      <c r="A8" s="2">
        <v>4</v>
      </c>
      <c r="B8" s="7" t="s">
        <v>11</v>
      </c>
      <c r="C8" s="6"/>
      <c r="D8" s="6">
        <f t="array" aca="1" ref="D8:G8" ca="1">TRANSPOSE(Analysis!AC4:AC7)</f>
        <v>1</v>
      </c>
      <c r="E8" s="6">
        <f ca="1"/>
        <v>1</v>
      </c>
      <c r="F8" s="5">
        <f ca="1"/>
        <v>1</v>
      </c>
      <c r="G8" s="5">
        <f ca="1"/>
        <v>0</v>
      </c>
    </row>
    <row r="9" spans="1:9" ht="15.75" thickBot="1" x14ac:dyDescent="0.3">
      <c r="A9" s="2">
        <v>5</v>
      </c>
      <c r="B9" s="7" t="s">
        <v>12</v>
      </c>
      <c r="C9" s="6"/>
      <c r="D9" s="6">
        <f t="array" aca="1" ref="D9:G9" ca="1">TRANSPOSE(Analysis!AD4:AD7)</f>
        <v>0</v>
      </c>
      <c r="E9" s="6">
        <f ca="1"/>
        <v>1</v>
      </c>
      <c r="F9" s="5">
        <f ca="1"/>
        <v>0</v>
      </c>
      <c r="G9" s="5">
        <f ca="1"/>
        <v>9</v>
      </c>
    </row>
    <row r="10" spans="1:9" ht="15.75" thickBot="1" x14ac:dyDescent="0.3">
      <c r="A10" s="2">
        <v>6</v>
      </c>
      <c r="B10" s="7" t="s">
        <v>17</v>
      </c>
      <c r="C10" s="6"/>
      <c r="D10" s="6">
        <f t="array" aca="1" ref="D10:G10" ca="1">TRANSPOSE(Analysis!AE4:AE7)</f>
        <v>0</v>
      </c>
      <c r="E10" s="6">
        <f ca="1"/>
        <v>4</v>
      </c>
      <c r="F10" s="5">
        <f ca="1"/>
        <v>1</v>
      </c>
      <c r="G10" s="5">
        <f ca="1"/>
        <v>1</v>
      </c>
    </row>
    <row r="11" spans="1:9" ht="15.75" thickBot="1" x14ac:dyDescent="0.3">
      <c r="C11" s="11" t="s">
        <v>19</v>
      </c>
      <c r="D11" s="5">
        <f ca="1">SUM(D5:D10)</f>
        <v>5</v>
      </c>
      <c r="E11" s="5">
        <f t="shared" ref="E11:G11" ca="1" si="0">SUM(E5:E10)</f>
        <v>12</v>
      </c>
      <c r="F11" s="5">
        <f t="shared" ca="1" si="0"/>
        <v>4</v>
      </c>
      <c r="G11" s="5">
        <f t="shared" ca="1" si="0"/>
        <v>29</v>
      </c>
      <c r="I11" s="12">
        <f ca="1">SUM(D11:G11)</f>
        <v>50</v>
      </c>
    </row>
    <row r="15" spans="1:9" x14ac:dyDescent="0.25">
      <c r="I15" s="3"/>
    </row>
  </sheetData>
  <mergeCells count="4">
    <mergeCell ref="D3:G3"/>
    <mergeCell ref="A3:A4"/>
    <mergeCell ref="B3:B4"/>
    <mergeCell ref="C3:C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4C7E-EC5D-4154-840B-6BFD0B6C931D}">
  <sheetPr codeName="Sheet2"/>
  <dimension ref="A2:AE53"/>
  <sheetViews>
    <sheetView showGridLines="0" tabSelected="1" topLeftCell="S1" workbookViewId="0">
      <selection activeCell="Z12" sqref="Z12"/>
    </sheetView>
  </sheetViews>
  <sheetFormatPr defaultRowHeight="15" x14ac:dyDescent="0.25"/>
  <cols>
    <col min="10" max="11" width="12.7109375" customWidth="1"/>
    <col min="12" max="12" width="22" customWidth="1"/>
    <col min="13" max="14" width="12.7109375" customWidth="1"/>
    <col min="15" max="23" width="18.28515625" customWidth="1"/>
    <col min="26" max="27" width="12.7109375" customWidth="1"/>
    <col min="28" max="28" width="20.42578125" customWidth="1"/>
    <col min="29" max="30" width="12.7109375" customWidth="1"/>
    <col min="31" max="31" width="15.42578125" customWidth="1"/>
  </cols>
  <sheetData>
    <row r="2" spans="1:31" ht="15.75" thickBot="1" x14ac:dyDescent="0.3">
      <c r="Q2" t="s">
        <v>21</v>
      </c>
    </row>
    <row r="3" spans="1:31" ht="15.75" thickBot="1" x14ac:dyDescent="0.3">
      <c r="E3" t="s">
        <v>22</v>
      </c>
      <c r="J3" s="13" t="s">
        <v>20</v>
      </c>
      <c r="K3" s="13" t="s">
        <v>9</v>
      </c>
      <c r="L3" s="13" t="s">
        <v>10</v>
      </c>
      <c r="M3" s="13" t="s">
        <v>11</v>
      </c>
      <c r="N3" s="13" t="s">
        <v>12</v>
      </c>
      <c r="O3" s="13" t="s">
        <v>17</v>
      </c>
      <c r="Q3" s="14" t="s">
        <v>20</v>
      </c>
      <c r="R3" s="14" t="s">
        <v>9</v>
      </c>
      <c r="S3" s="14" t="s">
        <v>11</v>
      </c>
      <c r="T3" s="14" t="s">
        <v>12</v>
      </c>
      <c r="Z3" s="6" t="s">
        <v>20</v>
      </c>
      <c r="AA3" s="6" t="s">
        <v>9</v>
      </c>
      <c r="AB3" s="6" t="s">
        <v>10</v>
      </c>
      <c r="AC3" s="6" t="s">
        <v>11</v>
      </c>
      <c r="AD3" s="6" t="s">
        <v>12</v>
      </c>
      <c r="AE3" s="6" t="s">
        <v>17</v>
      </c>
    </row>
    <row r="4" spans="1:31" ht="15.75" thickBot="1" x14ac:dyDescent="0.3">
      <c r="A4">
        <v>1</v>
      </c>
      <c r="B4" s="9" t="s">
        <v>20</v>
      </c>
      <c r="C4" s="8">
        <f ca="1">MAX(MIN(100 + NORMINV(RAND(), 0, 50), 100), 0)</f>
        <v>70.512247309436091</v>
      </c>
      <c r="D4" s="8"/>
      <c r="E4" s="8">
        <v>1</v>
      </c>
      <c r="F4" s="8" t="s">
        <v>20</v>
      </c>
      <c r="G4" s="8">
        <v>100</v>
      </c>
      <c r="H4" s="8"/>
      <c r="J4" s="10">
        <f ca="1">IF($B4 = J$3, $C4, "NA")</f>
        <v>70.512247309436091</v>
      </c>
      <c r="K4" s="10" t="str">
        <f>IF($B4 = K$3, $C4, "NA")</f>
        <v>NA</v>
      </c>
      <c r="L4" s="10" t="str">
        <f>IF(OR($B4 = "Honda", $B4 = "Subaru", $B4 = "Ford"), $C4, "NA")</f>
        <v>NA</v>
      </c>
      <c r="M4" s="10" t="str">
        <f>IF($B4 = M$3, $C4, "NA")</f>
        <v>NA</v>
      </c>
      <c r="N4" s="10" t="str">
        <f>IF($B4 = N$3, $C4, "NA")</f>
        <v>NA</v>
      </c>
      <c r="O4" s="10" t="str">
        <f>IF(OR($B4 = "Bmw", $B4 = "Porsche"), $C4, "NA")</f>
        <v>NA</v>
      </c>
      <c r="Q4" s="15">
        <f t="array" aca="1" ref="Q4:Q53" ca="1">CarDist(B4:C53, J$3)</f>
        <v>70.512247309436091</v>
      </c>
      <c r="R4" s="15" t="str" cm="1">
        <f t="array" aca="1" ref="R4:R53" ca="1">CarDist(B4:C53,K3)</f>
        <v>NA</v>
      </c>
      <c r="S4" s="15" t="str" cm="1">
        <f t="array" aca="1" ref="S4:S53" ca="1">CarDist(B4:C53,M3)</f>
        <v>NA</v>
      </c>
      <c r="T4" s="15" t="str" cm="1">
        <f t="array" aca="1" ref="T4:T53" ca="1">CarDist(B4:C53,N3)</f>
        <v>NA</v>
      </c>
      <c r="W4">
        <f t="array" aca="1" ref="W4:W7" ca="1">CarTable(B4:C53,J3)</f>
        <v>0</v>
      </c>
      <c r="Y4" s="5">
        <v>50</v>
      </c>
      <c r="Z4" s="5">
        <f t="array" aca="1" ref="Z4:Z7" ca="1">FREQUENCY(J4:J53, $Y4:$Y7)</f>
        <v>0</v>
      </c>
      <c r="AA4" s="5">
        <f t="array" aca="1" ref="AA4:AA7" ca="1">FREQUENCY(K4:K53, $Y4:$Y7)</f>
        <v>1</v>
      </c>
      <c r="AB4" s="5">
        <f t="array" aca="1" ref="AB4:AB7" ca="1">FREQUENCY(L4:L53, $Y4:$Y7)</f>
        <v>3</v>
      </c>
      <c r="AC4" s="5">
        <f t="array" aca="1" ref="AC4:AC7" ca="1">FREQUENCY(M4:M53, $Y4:$Y7)</f>
        <v>1</v>
      </c>
      <c r="AD4" s="5">
        <f t="array" aca="1" ref="AD4:AD7" ca="1">FREQUENCY(N4:N53, $Y4:$Y7)</f>
        <v>0</v>
      </c>
      <c r="AE4" s="5">
        <f t="array" aca="1" ref="AE4:AE7" ca="1">FREQUENCY(O4:O53, $Y4:$Y7)</f>
        <v>0</v>
      </c>
    </row>
    <row r="5" spans="1:31" ht="15.75" thickBot="1" x14ac:dyDescent="0.3">
      <c r="A5">
        <v>2</v>
      </c>
      <c r="B5" s="9" t="s">
        <v>9</v>
      </c>
      <c r="C5" s="8">
        <f t="shared" ref="C5:C53" ca="1" si="0">MAX(MIN(100 + NORMINV(RAND(), 0, 50), 100), 0)</f>
        <v>20.580098511531403</v>
      </c>
      <c r="D5" s="8"/>
      <c r="E5" s="8">
        <v>2</v>
      </c>
      <c r="F5" s="8" t="s">
        <v>9</v>
      </c>
      <c r="G5" s="8">
        <v>100</v>
      </c>
      <c r="H5" s="8"/>
      <c r="J5" s="10" t="str">
        <f t="shared" ref="J5:K53" si="1">IF($B5 = J$3, $C5, "NA")</f>
        <v>NA</v>
      </c>
      <c r="K5" s="10">
        <f t="shared" ca="1" si="1"/>
        <v>20.580098511531403</v>
      </c>
      <c r="L5" s="10" t="str">
        <f t="shared" ref="L5:L53" si="2">IF(OR($B5 = "Honda", $B5 = "Subaru", $B5 = "Ford"), $C5, "NA")</f>
        <v>NA</v>
      </c>
      <c r="M5" s="10" t="str">
        <f t="shared" ref="M5:N53" si="3">IF($B5 = M$3, $C5, "NA")</f>
        <v>NA</v>
      </c>
      <c r="N5" s="10" t="str">
        <f t="shared" si="3"/>
        <v>NA</v>
      </c>
      <c r="O5" s="10" t="str">
        <f t="shared" ref="O5:O53" si="4">IF(OR($B5 = "Bmw", $B5 = "Porsche"), $C5, "NA")</f>
        <v>NA</v>
      </c>
      <c r="Q5" s="15" t="str">
        <f ca="1"/>
        <v>NA</v>
      </c>
      <c r="R5" s="15">
        <f ca="1"/>
        <v>20.580098511531403</v>
      </c>
      <c r="S5" s="15" t="str">
        <f ca="1"/>
        <v>NA</v>
      </c>
      <c r="T5" s="15" t="str">
        <f ca="1"/>
        <v>NA</v>
      </c>
      <c r="W5">
        <f ca="1"/>
        <v>0</v>
      </c>
      <c r="Y5" s="5">
        <v>80</v>
      </c>
      <c r="Z5" s="5">
        <f ca="1"/>
        <v>2</v>
      </c>
      <c r="AA5" s="5">
        <f ca="1"/>
        <v>1</v>
      </c>
      <c r="AB5" s="5">
        <f ca="1"/>
        <v>3</v>
      </c>
      <c r="AC5" s="5">
        <f ca="1"/>
        <v>1</v>
      </c>
      <c r="AD5" s="5">
        <f ca="1"/>
        <v>1</v>
      </c>
      <c r="AE5" s="5">
        <f ca="1"/>
        <v>4</v>
      </c>
    </row>
    <row r="6" spans="1:31" ht="15.75" thickBot="1" x14ac:dyDescent="0.3">
      <c r="A6">
        <v>3</v>
      </c>
      <c r="B6" s="9" t="s">
        <v>20</v>
      </c>
      <c r="C6" s="8">
        <f t="shared" ca="1" si="0"/>
        <v>92.206689581439775</v>
      </c>
      <c r="D6" s="8"/>
      <c r="E6" s="8">
        <v>3</v>
      </c>
      <c r="F6" s="8" t="s">
        <v>20</v>
      </c>
      <c r="G6" s="8">
        <v>100</v>
      </c>
      <c r="H6" s="8"/>
      <c r="J6" s="10">
        <f t="shared" ca="1" si="1"/>
        <v>92.206689581439775</v>
      </c>
      <c r="K6" s="10" t="str">
        <f t="shared" si="1"/>
        <v>NA</v>
      </c>
      <c r="L6" s="10" t="str">
        <f t="shared" si="2"/>
        <v>NA</v>
      </c>
      <c r="M6" s="10" t="str">
        <f t="shared" si="3"/>
        <v>NA</v>
      </c>
      <c r="N6" s="10" t="str">
        <f t="shared" si="3"/>
        <v>NA</v>
      </c>
      <c r="O6" s="10" t="str">
        <f t="shared" si="4"/>
        <v>NA</v>
      </c>
      <c r="Q6" s="15">
        <f ca="1"/>
        <v>92.206689581439775</v>
      </c>
      <c r="R6" s="15" t="str">
        <f ca="1"/>
        <v>NA</v>
      </c>
      <c r="S6" s="15" t="str">
        <f ca="1"/>
        <v>NA</v>
      </c>
      <c r="T6" s="15" t="str">
        <f ca="1"/>
        <v>NA</v>
      </c>
      <c r="W6">
        <f ca="1"/>
        <v>0</v>
      </c>
      <c r="Y6" s="5">
        <v>95</v>
      </c>
      <c r="Z6" s="5">
        <f ca="1"/>
        <v>1</v>
      </c>
      <c r="AA6" s="5">
        <f ca="1"/>
        <v>0</v>
      </c>
      <c r="AB6" s="5">
        <f ca="1"/>
        <v>1</v>
      </c>
      <c r="AC6" s="5">
        <f ca="1"/>
        <v>1</v>
      </c>
      <c r="AD6" s="5">
        <f ca="1"/>
        <v>0</v>
      </c>
      <c r="AE6" s="5">
        <f ca="1"/>
        <v>1</v>
      </c>
    </row>
    <row r="7" spans="1:31" ht="15.75" thickBot="1" x14ac:dyDescent="0.3">
      <c r="A7">
        <v>4</v>
      </c>
      <c r="B7" s="9" t="s">
        <v>9</v>
      </c>
      <c r="C7" s="8">
        <f ca="1">MAX(MIN(100 + NORMINV(RAND(), 0, 50), 100), 0)</f>
        <v>100</v>
      </c>
      <c r="D7" s="8"/>
      <c r="E7" s="8">
        <v>4</v>
      </c>
      <c r="F7" s="8" t="s">
        <v>9</v>
      </c>
      <c r="G7" s="8">
        <v>100</v>
      </c>
      <c r="H7" s="8"/>
      <c r="J7" s="10" t="str">
        <f t="shared" si="1"/>
        <v>NA</v>
      </c>
      <c r="K7" s="10">
        <f t="shared" ca="1" si="1"/>
        <v>100</v>
      </c>
      <c r="L7" s="10" t="str">
        <f t="shared" si="2"/>
        <v>NA</v>
      </c>
      <c r="M7" s="10" t="str">
        <f t="shared" si="3"/>
        <v>NA</v>
      </c>
      <c r="N7" s="10" t="str">
        <f t="shared" si="3"/>
        <v>NA</v>
      </c>
      <c r="O7" s="10" t="str">
        <f t="shared" si="4"/>
        <v>NA</v>
      </c>
      <c r="Q7" s="15" t="str">
        <f ca="1"/>
        <v>NA</v>
      </c>
      <c r="R7" s="15">
        <f ca="1"/>
        <v>100</v>
      </c>
      <c r="S7" s="15" t="str">
        <f ca="1"/>
        <v>NA</v>
      </c>
      <c r="T7" s="15" t="str">
        <f ca="1"/>
        <v>NA</v>
      </c>
      <c r="W7">
        <f ca="1"/>
        <v>0</v>
      </c>
      <c r="Y7" s="5">
        <v>100</v>
      </c>
      <c r="Z7" s="5">
        <f ca="1"/>
        <v>3</v>
      </c>
      <c r="AA7" s="5">
        <f ca="1"/>
        <v>8</v>
      </c>
      <c r="AB7" s="5">
        <f ca="1"/>
        <v>8</v>
      </c>
      <c r="AC7" s="5">
        <f ca="1"/>
        <v>0</v>
      </c>
      <c r="AD7" s="5">
        <f ca="1"/>
        <v>9</v>
      </c>
      <c r="AE7" s="5">
        <f ca="1"/>
        <v>1</v>
      </c>
    </row>
    <row r="8" spans="1:31" ht="15.75" thickBot="1" x14ac:dyDescent="0.3">
      <c r="A8">
        <v>5</v>
      </c>
      <c r="B8" s="9" t="s">
        <v>20</v>
      </c>
      <c r="C8" s="8">
        <f t="shared" ca="1" si="0"/>
        <v>98.604257150241409</v>
      </c>
      <c r="D8" s="8"/>
      <c r="E8" s="8">
        <v>5</v>
      </c>
      <c r="F8" s="8" t="s">
        <v>20</v>
      </c>
      <c r="G8" s="8">
        <v>36.72632921097351</v>
      </c>
      <c r="H8" s="8"/>
      <c r="J8" s="10">
        <f t="shared" ca="1" si="1"/>
        <v>98.604257150241409</v>
      </c>
      <c r="K8" s="10" t="str">
        <f t="shared" si="1"/>
        <v>NA</v>
      </c>
      <c r="L8" s="10" t="str">
        <f t="shared" si="2"/>
        <v>NA</v>
      </c>
      <c r="M8" s="10" t="str">
        <f t="shared" si="3"/>
        <v>NA</v>
      </c>
      <c r="N8" s="10" t="str">
        <f t="shared" si="3"/>
        <v>NA</v>
      </c>
      <c r="O8" s="10" t="str">
        <f t="shared" si="4"/>
        <v>NA</v>
      </c>
      <c r="Q8" s="15">
        <f ca="1"/>
        <v>98.604257150241409</v>
      </c>
      <c r="R8" s="15" t="str">
        <f ca="1"/>
        <v>NA</v>
      </c>
      <c r="S8" s="15" t="str">
        <f ca="1"/>
        <v>NA</v>
      </c>
      <c r="T8" s="15" t="str">
        <f ca="1"/>
        <v>NA</v>
      </c>
    </row>
    <row r="9" spans="1:31" ht="15.75" thickBot="1" x14ac:dyDescent="0.3">
      <c r="A9">
        <v>6</v>
      </c>
      <c r="B9" s="9" t="s">
        <v>9</v>
      </c>
      <c r="C9" s="8">
        <f t="shared" ca="1" si="0"/>
        <v>100</v>
      </c>
      <c r="D9" s="8"/>
      <c r="E9" s="8">
        <v>6</v>
      </c>
      <c r="F9" s="8" t="s">
        <v>9</v>
      </c>
      <c r="G9" s="8">
        <v>100</v>
      </c>
      <c r="H9" s="8"/>
      <c r="J9" s="10" t="str">
        <f t="shared" si="1"/>
        <v>NA</v>
      </c>
      <c r="K9" s="10">
        <f t="shared" ca="1" si="1"/>
        <v>100</v>
      </c>
      <c r="L9" s="10" t="str">
        <f t="shared" si="2"/>
        <v>NA</v>
      </c>
      <c r="M9" s="10" t="str">
        <f t="shared" si="3"/>
        <v>NA</v>
      </c>
      <c r="N9" s="10" t="str">
        <f t="shared" si="3"/>
        <v>NA</v>
      </c>
      <c r="O9" s="10" t="str">
        <f t="shared" si="4"/>
        <v>NA</v>
      </c>
      <c r="Q9" s="15" t="str">
        <f ca="1"/>
        <v>NA</v>
      </c>
      <c r="R9" s="15">
        <f ca="1"/>
        <v>100</v>
      </c>
      <c r="S9" s="15" t="str">
        <f ca="1"/>
        <v>NA</v>
      </c>
      <c r="T9" s="15" t="str">
        <f ca="1"/>
        <v>NA</v>
      </c>
    </row>
    <row r="10" spans="1:31" ht="15.75" thickBot="1" x14ac:dyDescent="0.3">
      <c r="A10">
        <v>7</v>
      </c>
      <c r="B10" s="9" t="s">
        <v>13</v>
      </c>
      <c r="C10" s="8">
        <f t="shared" ca="1" si="0"/>
        <v>85.032261457990671</v>
      </c>
      <c r="D10" s="8"/>
      <c r="E10" s="8">
        <v>7</v>
      </c>
      <c r="F10" s="8" t="s">
        <v>13</v>
      </c>
      <c r="G10" s="8">
        <v>62.422113283586278</v>
      </c>
      <c r="H10" s="8"/>
      <c r="J10" s="10" t="str">
        <f t="shared" si="1"/>
        <v>NA</v>
      </c>
      <c r="K10" s="10" t="str">
        <f t="shared" si="1"/>
        <v>NA</v>
      </c>
      <c r="L10" s="10">
        <f t="shared" ca="1" si="2"/>
        <v>85.032261457990671</v>
      </c>
      <c r="M10" s="10" t="str">
        <f t="shared" si="3"/>
        <v>NA</v>
      </c>
      <c r="N10" s="10" t="str">
        <f t="shared" si="3"/>
        <v>NA</v>
      </c>
      <c r="O10" s="10" t="str">
        <f t="shared" si="4"/>
        <v>NA</v>
      </c>
      <c r="Q10" s="15" t="str">
        <f ca="1"/>
        <v>NA</v>
      </c>
      <c r="R10" s="15" t="str">
        <f ca="1"/>
        <v>NA</v>
      </c>
      <c r="S10" s="15" t="str">
        <f ca="1"/>
        <v>NA</v>
      </c>
      <c r="T10" s="15" t="str">
        <f ca="1"/>
        <v>NA</v>
      </c>
    </row>
    <row r="11" spans="1:31" ht="15.75" thickBot="1" x14ac:dyDescent="0.3">
      <c r="A11">
        <v>8</v>
      </c>
      <c r="B11" s="9" t="s">
        <v>16</v>
      </c>
      <c r="C11" s="8">
        <f t="shared" ca="1" si="0"/>
        <v>97.311443037590365</v>
      </c>
      <c r="D11" s="8"/>
      <c r="E11" s="8">
        <v>8</v>
      </c>
      <c r="F11" s="8" t="s">
        <v>16</v>
      </c>
      <c r="G11" s="8">
        <v>77.020802536934283</v>
      </c>
      <c r="H11" s="8"/>
      <c r="J11" s="10" t="str">
        <f t="shared" si="1"/>
        <v>NA</v>
      </c>
      <c r="K11" s="10" t="str">
        <f t="shared" si="1"/>
        <v>NA</v>
      </c>
      <c r="L11" s="10">
        <f t="shared" ca="1" si="2"/>
        <v>97.311443037590365</v>
      </c>
      <c r="M11" s="10" t="str">
        <f t="shared" si="3"/>
        <v>NA</v>
      </c>
      <c r="N11" s="10" t="str">
        <f t="shared" si="3"/>
        <v>NA</v>
      </c>
      <c r="O11" s="10" t="str">
        <f t="shared" si="4"/>
        <v>NA</v>
      </c>
      <c r="Q11" s="15" t="str">
        <f ca="1"/>
        <v>NA</v>
      </c>
      <c r="R11" s="15" t="str">
        <f ca="1"/>
        <v>NA</v>
      </c>
      <c r="S11" s="15" t="str">
        <f ca="1"/>
        <v>NA</v>
      </c>
      <c r="T11" s="15" t="str">
        <f ca="1"/>
        <v>NA</v>
      </c>
      <c r="Z11" s="5">
        <v>50</v>
      </c>
      <c r="AA11" s="5">
        <v>80</v>
      </c>
      <c r="AB11" s="5">
        <v>95</v>
      </c>
      <c r="AC11" s="5">
        <v>100</v>
      </c>
    </row>
    <row r="12" spans="1:31" ht="15.75" thickBot="1" x14ac:dyDescent="0.3">
      <c r="A12">
        <v>9</v>
      </c>
      <c r="B12" s="9" t="s">
        <v>13</v>
      </c>
      <c r="C12" s="8">
        <f t="shared" ca="1" si="0"/>
        <v>0</v>
      </c>
      <c r="D12" s="8"/>
      <c r="E12" s="8">
        <v>9</v>
      </c>
      <c r="F12" s="8" t="s">
        <v>13</v>
      </c>
      <c r="G12" s="8">
        <v>100</v>
      </c>
      <c r="H12" s="8"/>
      <c r="J12" s="10" t="str">
        <f t="shared" si="1"/>
        <v>NA</v>
      </c>
      <c r="K12" s="10" t="str">
        <f t="shared" si="1"/>
        <v>NA</v>
      </c>
      <c r="L12" s="10">
        <f t="shared" ca="1" si="2"/>
        <v>0</v>
      </c>
      <c r="M12" s="10" t="str">
        <f t="shared" si="3"/>
        <v>NA</v>
      </c>
      <c r="N12" s="10" t="str">
        <f t="shared" si="3"/>
        <v>NA</v>
      </c>
      <c r="O12" s="10" t="str">
        <f t="shared" si="4"/>
        <v>NA</v>
      </c>
      <c r="Q12" s="15" t="str">
        <f ca="1"/>
        <v>NA</v>
      </c>
      <c r="R12" s="15" t="str">
        <f ca="1"/>
        <v>NA</v>
      </c>
      <c r="S12" s="15" t="str">
        <f ca="1"/>
        <v>NA</v>
      </c>
      <c r="T12" s="15" t="str">
        <f ca="1"/>
        <v>NA</v>
      </c>
      <c r="Y12" s="6" t="s">
        <v>20</v>
      </c>
      <c r="Z12">
        <f t="array" aca="1" ref="Z12:AC12" ca="1">CarTable(B4:C53,Y12)</f>
        <v>0</v>
      </c>
      <c r="AA12">
        <f ca="1"/>
        <v>2</v>
      </c>
      <c r="AB12">
        <f ca="1"/>
        <v>1</v>
      </c>
      <c r="AC12">
        <f ca="1"/>
        <v>3</v>
      </c>
    </row>
    <row r="13" spans="1:31" ht="15.75" thickBot="1" x14ac:dyDescent="0.3">
      <c r="A13">
        <v>10</v>
      </c>
      <c r="B13" s="9" t="s">
        <v>16</v>
      </c>
      <c r="C13" s="8">
        <f t="shared" ca="1" si="0"/>
        <v>100</v>
      </c>
      <c r="D13" s="8"/>
      <c r="E13" s="8">
        <v>10</v>
      </c>
      <c r="F13" s="8" t="s">
        <v>16</v>
      </c>
      <c r="G13" s="8">
        <v>100</v>
      </c>
      <c r="H13" s="8"/>
      <c r="J13" s="10" t="str">
        <f t="shared" si="1"/>
        <v>NA</v>
      </c>
      <c r="K13" s="10" t="str">
        <f t="shared" si="1"/>
        <v>NA</v>
      </c>
      <c r="L13" s="10">
        <f t="shared" ca="1" si="2"/>
        <v>100</v>
      </c>
      <c r="M13" s="10" t="str">
        <f t="shared" si="3"/>
        <v>NA</v>
      </c>
      <c r="N13" s="10" t="str">
        <f t="shared" si="3"/>
        <v>NA</v>
      </c>
      <c r="O13" s="10" t="str">
        <f t="shared" si="4"/>
        <v>NA</v>
      </c>
      <c r="Q13" s="15" t="str">
        <f ca="1"/>
        <v>NA</v>
      </c>
      <c r="R13" s="15" t="str">
        <f ca="1"/>
        <v>NA</v>
      </c>
      <c r="S13" s="15" t="str">
        <f ca="1"/>
        <v>NA</v>
      </c>
      <c r="T13" s="15" t="str">
        <f ca="1"/>
        <v>NA</v>
      </c>
      <c r="Y13" s="6" t="s">
        <v>9</v>
      </c>
    </row>
    <row r="14" spans="1:31" ht="15.75" thickBot="1" x14ac:dyDescent="0.3">
      <c r="A14">
        <v>11</v>
      </c>
      <c r="B14" s="9" t="s">
        <v>13</v>
      </c>
      <c r="C14" s="8">
        <f t="shared" ca="1" si="0"/>
        <v>100</v>
      </c>
      <c r="D14" s="8"/>
      <c r="E14" s="8">
        <v>11</v>
      </c>
      <c r="F14" s="8" t="s">
        <v>13</v>
      </c>
      <c r="G14" s="8">
        <v>80.795927556660885</v>
      </c>
      <c r="H14" s="8"/>
      <c r="J14" s="10" t="str">
        <f t="shared" si="1"/>
        <v>NA</v>
      </c>
      <c r="K14" s="10" t="str">
        <f t="shared" si="1"/>
        <v>NA</v>
      </c>
      <c r="L14" s="10">
        <f t="shared" ca="1" si="2"/>
        <v>100</v>
      </c>
      <c r="M14" s="10" t="str">
        <f t="shared" si="3"/>
        <v>NA</v>
      </c>
      <c r="N14" s="10" t="str">
        <f t="shared" si="3"/>
        <v>NA</v>
      </c>
      <c r="O14" s="10" t="str">
        <f t="shared" si="4"/>
        <v>NA</v>
      </c>
      <c r="Q14" s="15" t="str">
        <f ca="1"/>
        <v>NA</v>
      </c>
      <c r="R14" s="15" t="str">
        <f ca="1"/>
        <v>NA</v>
      </c>
      <c r="S14" s="15" t="str">
        <f ca="1"/>
        <v>NA</v>
      </c>
      <c r="T14" s="15" t="str">
        <f ca="1"/>
        <v>NA</v>
      </c>
      <c r="Y14" s="6" t="s">
        <v>11</v>
      </c>
    </row>
    <row r="15" spans="1:31" ht="15.75" thickBot="1" x14ac:dyDescent="0.3">
      <c r="A15">
        <v>12</v>
      </c>
      <c r="B15" s="9" t="s">
        <v>16</v>
      </c>
      <c r="C15" s="8">
        <f t="shared" ca="1" si="0"/>
        <v>100</v>
      </c>
      <c r="D15" s="8"/>
      <c r="E15" s="8">
        <v>12</v>
      </c>
      <c r="F15" s="8" t="s">
        <v>16</v>
      </c>
      <c r="G15" s="8">
        <v>100</v>
      </c>
      <c r="H15" s="8"/>
      <c r="J15" s="10" t="str">
        <f t="shared" si="1"/>
        <v>NA</v>
      </c>
      <c r="K15" s="10" t="str">
        <f t="shared" si="1"/>
        <v>NA</v>
      </c>
      <c r="L15" s="10">
        <f t="shared" ca="1" si="2"/>
        <v>100</v>
      </c>
      <c r="M15" s="10" t="str">
        <f t="shared" si="3"/>
        <v>NA</v>
      </c>
      <c r="N15" s="10" t="str">
        <f t="shared" si="3"/>
        <v>NA</v>
      </c>
      <c r="O15" s="10" t="str">
        <f t="shared" si="4"/>
        <v>NA</v>
      </c>
      <c r="Q15" s="15" t="str">
        <f ca="1"/>
        <v>NA</v>
      </c>
      <c r="R15" s="15" t="str">
        <f ca="1"/>
        <v>NA</v>
      </c>
      <c r="S15" s="15" t="str">
        <f ca="1"/>
        <v>NA</v>
      </c>
      <c r="T15" s="15" t="str">
        <f ca="1"/>
        <v>NA</v>
      </c>
      <c r="Y15" s="6" t="s">
        <v>12</v>
      </c>
    </row>
    <row r="16" spans="1:31" ht="15.75" thickBot="1" x14ac:dyDescent="0.3">
      <c r="A16">
        <v>13</v>
      </c>
      <c r="B16" s="9" t="s">
        <v>11</v>
      </c>
      <c r="C16" s="8">
        <f t="shared" ca="1" si="0"/>
        <v>58.731517835415772</v>
      </c>
      <c r="D16" s="8"/>
      <c r="E16" s="8">
        <v>13</v>
      </c>
      <c r="F16" s="8" t="s">
        <v>11</v>
      </c>
      <c r="G16" s="8">
        <v>51.843737960042965</v>
      </c>
      <c r="H16" s="8"/>
      <c r="J16" s="10" t="str">
        <f t="shared" si="1"/>
        <v>NA</v>
      </c>
      <c r="K16" s="10" t="str">
        <f t="shared" si="1"/>
        <v>NA</v>
      </c>
      <c r="L16" s="10" t="str">
        <f t="shared" si="2"/>
        <v>NA</v>
      </c>
      <c r="M16" s="10">
        <f t="shared" ca="1" si="3"/>
        <v>58.731517835415772</v>
      </c>
      <c r="N16" s="10" t="str">
        <f t="shared" si="3"/>
        <v>NA</v>
      </c>
      <c r="O16" s="10" t="str">
        <f t="shared" si="4"/>
        <v>NA</v>
      </c>
      <c r="Q16" s="15" t="str">
        <f ca="1"/>
        <v>NA</v>
      </c>
      <c r="R16" s="15" t="str">
        <f ca="1"/>
        <v>NA</v>
      </c>
      <c r="S16" s="15">
        <f ca="1"/>
        <v>58.731517835415772</v>
      </c>
      <c r="T16" s="15" t="str">
        <f ca="1"/>
        <v>NA</v>
      </c>
    </row>
    <row r="17" spans="1:20" ht="15.75" thickBot="1" x14ac:dyDescent="0.3">
      <c r="A17">
        <v>14</v>
      </c>
      <c r="B17" s="9" t="s">
        <v>12</v>
      </c>
      <c r="C17" s="8">
        <f t="shared" ca="1" si="0"/>
        <v>100</v>
      </c>
      <c r="D17" s="8"/>
      <c r="E17" s="8">
        <v>14</v>
      </c>
      <c r="F17" s="8" t="s">
        <v>12</v>
      </c>
      <c r="G17" s="8">
        <v>33.329717182858673</v>
      </c>
      <c r="H17" s="8"/>
      <c r="J17" s="10" t="str">
        <f t="shared" si="1"/>
        <v>NA</v>
      </c>
      <c r="K17" s="10" t="str">
        <f t="shared" si="1"/>
        <v>NA</v>
      </c>
      <c r="L17" s="10" t="str">
        <f t="shared" si="2"/>
        <v>NA</v>
      </c>
      <c r="M17" s="10" t="str">
        <f t="shared" si="3"/>
        <v>NA</v>
      </c>
      <c r="N17" s="10">
        <f t="shared" ca="1" si="3"/>
        <v>100</v>
      </c>
      <c r="O17" s="10" t="str">
        <f t="shared" si="4"/>
        <v>NA</v>
      </c>
      <c r="Q17" s="15" t="str">
        <f ca="1"/>
        <v>NA</v>
      </c>
      <c r="R17" s="15" t="str">
        <f ca="1"/>
        <v>NA</v>
      </c>
      <c r="S17" s="15" t="str">
        <f ca="1"/>
        <v>NA</v>
      </c>
      <c r="T17" s="15">
        <f ca="1"/>
        <v>100</v>
      </c>
    </row>
    <row r="18" spans="1:20" ht="15.75" thickBot="1" x14ac:dyDescent="0.3">
      <c r="A18">
        <v>15</v>
      </c>
      <c r="B18" s="9" t="s">
        <v>12</v>
      </c>
      <c r="C18" s="8">
        <f t="shared" ca="1" si="0"/>
        <v>100</v>
      </c>
      <c r="D18" s="8"/>
      <c r="E18" s="8">
        <v>15</v>
      </c>
      <c r="F18" s="8" t="s">
        <v>12</v>
      </c>
      <c r="G18" s="8">
        <v>100</v>
      </c>
      <c r="H18" s="8"/>
      <c r="J18" s="10" t="str">
        <f t="shared" si="1"/>
        <v>NA</v>
      </c>
      <c r="K18" s="10" t="str">
        <f t="shared" si="1"/>
        <v>NA</v>
      </c>
      <c r="L18" s="10" t="str">
        <f t="shared" si="2"/>
        <v>NA</v>
      </c>
      <c r="M18" s="10" t="str">
        <f t="shared" si="3"/>
        <v>NA</v>
      </c>
      <c r="N18" s="10">
        <f t="shared" ca="1" si="3"/>
        <v>100</v>
      </c>
      <c r="O18" s="10" t="str">
        <f t="shared" si="4"/>
        <v>NA</v>
      </c>
      <c r="Q18" s="15" t="str">
        <f ca="1"/>
        <v>NA</v>
      </c>
      <c r="R18" s="15" t="str">
        <f ca="1"/>
        <v>NA</v>
      </c>
      <c r="S18" s="15" t="str">
        <f ca="1"/>
        <v>NA</v>
      </c>
      <c r="T18" s="15">
        <f ca="1"/>
        <v>100</v>
      </c>
    </row>
    <row r="19" spans="1:20" ht="15.75" thickBot="1" x14ac:dyDescent="0.3">
      <c r="A19">
        <v>16</v>
      </c>
      <c r="B19" s="9" t="s">
        <v>12</v>
      </c>
      <c r="C19" s="8">
        <f t="shared" ca="1" si="0"/>
        <v>100</v>
      </c>
      <c r="D19" s="8"/>
      <c r="E19" s="8">
        <v>16</v>
      </c>
      <c r="F19" s="8" t="s">
        <v>12</v>
      </c>
      <c r="G19" s="8">
        <v>100</v>
      </c>
      <c r="H19" s="8"/>
      <c r="J19" s="10" t="str">
        <f t="shared" si="1"/>
        <v>NA</v>
      </c>
      <c r="K19" s="10" t="str">
        <f t="shared" si="1"/>
        <v>NA</v>
      </c>
      <c r="L19" s="10" t="str">
        <f t="shared" si="2"/>
        <v>NA</v>
      </c>
      <c r="M19" s="10" t="str">
        <f t="shared" si="3"/>
        <v>NA</v>
      </c>
      <c r="N19" s="10">
        <f t="shared" ca="1" si="3"/>
        <v>100</v>
      </c>
      <c r="O19" s="10" t="str">
        <f t="shared" si="4"/>
        <v>NA</v>
      </c>
      <c r="Q19" s="15" t="str">
        <f ca="1"/>
        <v>NA</v>
      </c>
      <c r="R19" s="15" t="str">
        <f ca="1"/>
        <v>NA</v>
      </c>
      <c r="S19" s="15" t="str">
        <f ca="1"/>
        <v>NA</v>
      </c>
      <c r="T19" s="15">
        <f ca="1"/>
        <v>100</v>
      </c>
    </row>
    <row r="20" spans="1:20" ht="15.75" thickBot="1" x14ac:dyDescent="0.3">
      <c r="A20">
        <v>17</v>
      </c>
      <c r="B20" s="9" t="s">
        <v>12</v>
      </c>
      <c r="C20" s="8">
        <f t="shared" ca="1" si="0"/>
        <v>100</v>
      </c>
      <c r="D20" s="8"/>
      <c r="E20" s="8">
        <v>17</v>
      </c>
      <c r="F20" s="8" t="s">
        <v>12</v>
      </c>
      <c r="G20" s="8">
        <v>100</v>
      </c>
      <c r="H20" s="8"/>
      <c r="J20" s="10" t="str">
        <f t="shared" si="1"/>
        <v>NA</v>
      </c>
      <c r="K20" s="10" t="str">
        <f t="shared" si="1"/>
        <v>NA</v>
      </c>
      <c r="L20" s="10" t="str">
        <f t="shared" si="2"/>
        <v>NA</v>
      </c>
      <c r="M20" s="10" t="str">
        <f t="shared" si="3"/>
        <v>NA</v>
      </c>
      <c r="N20" s="10">
        <f t="shared" ca="1" si="3"/>
        <v>100</v>
      </c>
      <c r="O20" s="10" t="str">
        <f t="shared" si="4"/>
        <v>NA</v>
      </c>
      <c r="Q20" s="15" t="str">
        <f ca="1"/>
        <v>NA</v>
      </c>
      <c r="R20" s="15" t="str">
        <f ca="1"/>
        <v>NA</v>
      </c>
      <c r="S20" s="15" t="str">
        <f ca="1"/>
        <v>NA</v>
      </c>
      <c r="T20" s="15">
        <f ca="1"/>
        <v>100</v>
      </c>
    </row>
    <row r="21" spans="1:20" ht="15.75" thickBot="1" x14ac:dyDescent="0.3">
      <c r="A21">
        <v>18</v>
      </c>
      <c r="B21" s="9" t="s">
        <v>12</v>
      </c>
      <c r="C21" s="8">
        <f t="shared" ca="1" si="0"/>
        <v>100</v>
      </c>
      <c r="D21" s="8"/>
      <c r="E21" s="8">
        <v>18</v>
      </c>
      <c r="F21" s="8" t="s">
        <v>12</v>
      </c>
      <c r="G21" s="8">
        <v>43.985441510202186</v>
      </c>
      <c r="H21" s="8"/>
      <c r="J21" s="10" t="str">
        <f t="shared" si="1"/>
        <v>NA</v>
      </c>
      <c r="K21" s="10" t="str">
        <f t="shared" si="1"/>
        <v>NA</v>
      </c>
      <c r="L21" s="10" t="str">
        <f t="shared" si="2"/>
        <v>NA</v>
      </c>
      <c r="M21" s="10" t="str">
        <f t="shared" si="3"/>
        <v>NA</v>
      </c>
      <c r="N21" s="10">
        <f t="shared" ca="1" si="3"/>
        <v>100</v>
      </c>
      <c r="O21" s="10" t="str">
        <f t="shared" si="4"/>
        <v>NA</v>
      </c>
      <c r="Q21" s="15" t="str">
        <f ca="1"/>
        <v>NA</v>
      </c>
      <c r="R21" s="15" t="str">
        <f ca="1"/>
        <v>NA</v>
      </c>
      <c r="S21" s="15" t="str">
        <f ca="1"/>
        <v>NA</v>
      </c>
      <c r="T21" s="15">
        <f ca="1"/>
        <v>100</v>
      </c>
    </row>
    <row r="22" spans="1:20" ht="15.75" thickBot="1" x14ac:dyDescent="0.3">
      <c r="A22">
        <v>19</v>
      </c>
      <c r="B22" s="9" t="s">
        <v>12</v>
      </c>
      <c r="C22" s="8">
        <f t="shared" ca="1" si="0"/>
        <v>54.515102545280158</v>
      </c>
      <c r="D22" s="8"/>
      <c r="E22" s="8">
        <v>19</v>
      </c>
      <c r="F22" s="8" t="s">
        <v>12</v>
      </c>
      <c r="G22" s="8">
        <v>100</v>
      </c>
      <c r="H22" s="8"/>
      <c r="J22" s="10" t="str">
        <f t="shared" si="1"/>
        <v>NA</v>
      </c>
      <c r="K22" s="10" t="str">
        <f t="shared" si="1"/>
        <v>NA</v>
      </c>
      <c r="L22" s="10" t="str">
        <f t="shared" si="2"/>
        <v>NA</v>
      </c>
      <c r="M22" s="10" t="str">
        <f t="shared" si="3"/>
        <v>NA</v>
      </c>
      <c r="N22" s="10">
        <f t="shared" ca="1" si="3"/>
        <v>54.515102545280158</v>
      </c>
      <c r="O22" s="10" t="str">
        <f t="shared" si="4"/>
        <v>NA</v>
      </c>
      <c r="Q22" s="15" t="str">
        <f ca="1"/>
        <v>NA</v>
      </c>
      <c r="R22" s="15" t="str">
        <f ca="1"/>
        <v>NA</v>
      </c>
      <c r="S22" s="15" t="str">
        <f ca="1"/>
        <v>NA</v>
      </c>
      <c r="T22" s="15">
        <f ca="1"/>
        <v>54.515102545280158</v>
      </c>
    </row>
    <row r="23" spans="1:20" ht="15.75" thickBot="1" x14ac:dyDescent="0.3">
      <c r="A23">
        <v>20</v>
      </c>
      <c r="B23" s="9" t="s">
        <v>14</v>
      </c>
      <c r="C23" s="8">
        <f t="shared" ca="1" si="0"/>
        <v>98.7512379280125</v>
      </c>
      <c r="D23" s="8"/>
      <c r="E23" s="8">
        <v>20</v>
      </c>
      <c r="F23" s="8" t="s">
        <v>14</v>
      </c>
      <c r="G23" s="8">
        <v>41.788490976574067</v>
      </c>
      <c r="H23" s="8"/>
      <c r="J23" s="10" t="str">
        <f t="shared" si="1"/>
        <v>NA</v>
      </c>
      <c r="K23" s="10" t="str">
        <f t="shared" si="1"/>
        <v>NA</v>
      </c>
      <c r="L23" s="10" t="str">
        <f t="shared" si="2"/>
        <v>NA</v>
      </c>
      <c r="M23" s="10" t="str">
        <f t="shared" si="3"/>
        <v>NA</v>
      </c>
      <c r="N23" s="10" t="str">
        <f t="shared" si="3"/>
        <v>NA</v>
      </c>
      <c r="O23" s="10">
        <f t="shared" ca="1" si="4"/>
        <v>98.7512379280125</v>
      </c>
      <c r="Q23" s="15" t="str">
        <f ca="1"/>
        <v>NA</v>
      </c>
      <c r="R23" s="15" t="str">
        <f ca="1"/>
        <v>NA</v>
      </c>
      <c r="S23" s="15" t="str">
        <f ca="1"/>
        <v>NA</v>
      </c>
      <c r="T23" s="15" t="str">
        <f ca="1"/>
        <v>NA</v>
      </c>
    </row>
    <row r="24" spans="1:20" ht="15.75" thickBot="1" x14ac:dyDescent="0.3">
      <c r="A24">
        <v>21</v>
      </c>
      <c r="B24" s="9" t="s">
        <v>15</v>
      </c>
      <c r="C24" s="8">
        <f t="shared" ca="1" si="0"/>
        <v>59.916444233247354</v>
      </c>
      <c r="D24" s="8"/>
      <c r="E24" s="8">
        <v>21</v>
      </c>
      <c r="F24" s="8" t="s">
        <v>15</v>
      </c>
      <c r="G24" s="8">
        <v>100</v>
      </c>
      <c r="H24" s="8"/>
      <c r="J24" s="10" t="str">
        <f t="shared" si="1"/>
        <v>NA</v>
      </c>
      <c r="K24" s="10" t="str">
        <f t="shared" si="1"/>
        <v>NA</v>
      </c>
      <c r="L24" s="10">
        <f t="shared" ca="1" si="2"/>
        <v>59.916444233247354</v>
      </c>
      <c r="M24" s="10" t="str">
        <f t="shared" si="3"/>
        <v>NA</v>
      </c>
      <c r="N24" s="10" t="str">
        <f t="shared" si="3"/>
        <v>NA</v>
      </c>
      <c r="O24" s="10" t="str">
        <f t="shared" si="4"/>
        <v>NA</v>
      </c>
      <c r="Q24" s="15" t="str">
        <f ca="1"/>
        <v>NA</v>
      </c>
      <c r="R24" s="15" t="str">
        <f ca="1"/>
        <v>NA</v>
      </c>
      <c r="S24" s="15" t="str">
        <f ca="1"/>
        <v>NA</v>
      </c>
      <c r="T24" s="15" t="str">
        <f ca="1"/>
        <v>NA</v>
      </c>
    </row>
    <row r="25" spans="1:20" ht="15.75" thickBot="1" x14ac:dyDescent="0.3">
      <c r="A25">
        <v>22</v>
      </c>
      <c r="B25" s="9" t="s">
        <v>15</v>
      </c>
      <c r="C25" s="8">
        <f t="shared" ca="1" si="0"/>
        <v>35.636670431756272</v>
      </c>
      <c r="D25" s="8"/>
      <c r="E25" s="8">
        <v>22</v>
      </c>
      <c r="F25" s="8" t="s">
        <v>15</v>
      </c>
      <c r="G25" s="8">
        <v>100</v>
      </c>
      <c r="H25" s="8"/>
      <c r="J25" s="10" t="str">
        <f t="shared" si="1"/>
        <v>NA</v>
      </c>
      <c r="K25" s="10" t="str">
        <f t="shared" si="1"/>
        <v>NA</v>
      </c>
      <c r="L25" s="10">
        <f t="shared" ca="1" si="2"/>
        <v>35.636670431756272</v>
      </c>
      <c r="M25" s="10" t="str">
        <f t="shared" si="3"/>
        <v>NA</v>
      </c>
      <c r="N25" s="10" t="str">
        <f t="shared" si="3"/>
        <v>NA</v>
      </c>
      <c r="O25" s="10" t="str">
        <f t="shared" si="4"/>
        <v>NA</v>
      </c>
      <c r="Q25" s="15" t="str">
        <f ca="1"/>
        <v>NA</v>
      </c>
      <c r="R25" s="15" t="str">
        <f ca="1"/>
        <v>NA</v>
      </c>
      <c r="S25" s="15" t="str">
        <f ca="1"/>
        <v>NA</v>
      </c>
      <c r="T25" s="15" t="str">
        <f ca="1"/>
        <v>NA</v>
      </c>
    </row>
    <row r="26" spans="1:20" ht="15.75" thickBot="1" x14ac:dyDescent="0.3">
      <c r="A26">
        <v>23</v>
      </c>
      <c r="B26" s="9" t="s">
        <v>15</v>
      </c>
      <c r="C26" s="8">
        <f t="shared" ca="1" si="0"/>
        <v>100</v>
      </c>
      <c r="D26" s="8"/>
      <c r="E26" s="8">
        <v>23</v>
      </c>
      <c r="F26" s="8" t="s">
        <v>15</v>
      </c>
      <c r="G26" s="8">
        <v>98.684657139091328</v>
      </c>
      <c r="H26" s="8"/>
      <c r="J26" s="10" t="str">
        <f t="shared" si="1"/>
        <v>NA</v>
      </c>
      <c r="K26" s="10" t="str">
        <f t="shared" si="1"/>
        <v>NA</v>
      </c>
      <c r="L26" s="10">
        <f t="shared" ca="1" si="2"/>
        <v>100</v>
      </c>
      <c r="M26" s="10" t="str">
        <f t="shared" si="3"/>
        <v>NA</v>
      </c>
      <c r="N26" s="10" t="str">
        <f t="shared" si="3"/>
        <v>NA</v>
      </c>
      <c r="O26" s="10" t="str">
        <f t="shared" si="4"/>
        <v>NA</v>
      </c>
      <c r="Q26" s="15" t="str">
        <f ca="1"/>
        <v>NA</v>
      </c>
      <c r="R26" s="15" t="str">
        <f ca="1"/>
        <v>NA</v>
      </c>
      <c r="S26" s="15" t="str">
        <f ca="1"/>
        <v>NA</v>
      </c>
      <c r="T26" s="15" t="str">
        <f ca="1"/>
        <v>NA</v>
      </c>
    </row>
    <row r="27" spans="1:20" ht="15.75" thickBot="1" x14ac:dyDescent="0.3">
      <c r="A27">
        <v>24</v>
      </c>
      <c r="B27" s="9" t="s">
        <v>15</v>
      </c>
      <c r="C27" s="8">
        <f t="shared" ca="1" si="0"/>
        <v>100</v>
      </c>
      <c r="D27" s="8"/>
      <c r="E27" s="8">
        <v>24</v>
      </c>
      <c r="F27" s="8" t="s">
        <v>15</v>
      </c>
      <c r="G27" s="8">
        <v>99.956134956559168</v>
      </c>
      <c r="H27" s="8"/>
      <c r="J27" s="10" t="str">
        <f t="shared" si="1"/>
        <v>NA</v>
      </c>
      <c r="K27" s="10" t="str">
        <f t="shared" si="1"/>
        <v>NA</v>
      </c>
      <c r="L27" s="10">
        <f t="shared" ca="1" si="2"/>
        <v>100</v>
      </c>
      <c r="M27" s="10" t="str">
        <f t="shared" si="3"/>
        <v>NA</v>
      </c>
      <c r="N27" s="10" t="str">
        <f t="shared" si="3"/>
        <v>NA</v>
      </c>
      <c r="O27" s="10" t="str">
        <f t="shared" si="4"/>
        <v>NA</v>
      </c>
      <c r="Q27" s="15" t="str">
        <f ca="1"/>
        <v>NA</v>
      </c>
      <c r="R27" s="15" t="str">
        <f ca="1"/>
        <v>NA</v>
      </c>
      <c r="S27" s="15" t="str">
        <f ca="1"/>
        <v>NA</v>
      </c>
      <c r="T27" s="15" t="str">
        <f ca="1"/>
        <v>NA</v>
      </c>
    </row>
    <row r="28" spans="1:20" ht="15.75" thickBot="1" x14ac:dyDescent="0.3">
      <c r="A28">
        <v>25</v>
      </c>
      <c r="B28" s="9" t="s">
        <v>18</v>
      </c>
      <c r="C28" s="8">
        <f t="shared" ca="1" si="0"/>
        <v>68.949632751611603</v>
      </c>
      <c r="D28" s="8"/>
      <c r="E28" s="8">
        <v>25</v>
      </c>
      <c r="F28" s="8" t="s">
        <v>18</v>
      </c>
      <c r="G28" s="8">
        <v>100</v>
      </c>
      <c r="H28" s="8"/>
      <c r="J28" s="10" t="str">
        <f t="shared" si="1"/>
        <v>NA</v>
      </c>
      <c r="K28" s="10" t="str">
        <f t="shared" si="1"/>
        <v>NA</v>
      </c>
      <c r="L28" s="10" t="str">
        <f t="shared" si="2"/>
        <v>NA</v>
      </c>
      <c r="M28" s="10" t="str">
        <f t="shared" si="3"/>
        <v>NA</v>
      </c>
      <c r="N28" s="10" t="str">
        <f t="shared" si="3"/>
        <v>NA</v>
      </c>
      <c r="O28" s="10">
        <f t="shared" ca="1" si="4"/>
        <v>68.949632751611603</v>
      </c>
      <c r="Q28" s="15" t="str">
        <f ca="1"/>
        <v>NA</v>
      </c>
      <c r="R28" s="15" t="str">
        <f ca="1"/>
        <v>NA</v>
      </c>
      <c r="S28" s="15" t="str">
        <f ca="1"/>
        <v>NA</v>
      </c>
      <c r="T28" s="15" t="str">
        <f ca="1"/>
        <v>NA</v>
      </c>
    </row>
    <row r="29" spans="1:20" ht="15.75" thickBot="1" x14ac:dyDescent="0.3">
      <c r="A29">
        <v>26</v>
      </c>
      <c r="B29" s="9" t="s">
        <v>16</v>
      </c>
      <c r="C29" s="8">
        <f t="shared" ca="1" si="0"/>
        <v>97.856607168483237</v>
      </c>
      <c r="D29" s="8"/>
      <c r="E29" s="8">
        <v>26</v>
      </c>
      <c r="F29" s="8" t="s">
        <v>16</v>
      </c>
      <c r="G29" s="8">
        <v>0</v>
      </c>
      <c r="H29" s="8"/>
      <c r="J29" s="10" t="str">
        <f t="shared" si="1"/>
        <v>NA</v>
      </c>
      <c r="K29" s="10" t="str">
        <f t="shared" si="1"/>
        <v>NA</v>
      </c>
      <c r="L29" s="10">
        <f t="shared" ca="1" si="2"/>
        <v>97.856607168483237</v>
      </c>
      <c r="M29" s="10" t="str">
        <f t="shared" si="3"/>
        <v>NA</v>
      </c>
      <c r="N29" s="10" t="str">
        <f t="shared" si="3"/>
        <v>NA</v>
      </c>
      <c r="O29" s="10" t="str">
        <f t="shared" si="4"/>
        <v>NA</v>
      </c>
      <c r="Q29" s="15" t="str">
        <f ca="1"/>
        <v>NA</v>
      </c>
      <c r="R29" s="15" t="str">
        <f ca="1"/>
        <v>NA</v>
      </c>
      <c r="S29" s="15" t="str">
        <f ca="1"/>
        <v>NA</v>
      </c>
      <c r="T29" s="15" t="str">
        <f ca="1"/>
        <v>NA</v>
      </c>
    </row>
    <row r="30" spans="1:20" ht="15.75" thickBot="1" x14ac:dyDescent="0.3">
      <c r="A30">
        <v>27</v>
      </c>
      <c r="B30" s="9" t="s">
        <v>18</v>
      </c>
      <c r="C30" s="8">
        <f t="shared" ca="1" si="0"/>
        <v>65.077467883873851</v>
      </c>
      <c r="D30" s="8"/>
      <c r="E30" s="8">
        <v>27</v>
      </c>
      <c r="F30" s="8" t="s">
        <v>18</v>
      </c>
      <c r="G30" s="8">
        <v>100</v>
      </c>
      <c r="H30" s="8"/>
      <c r="J30" s="10" t="str">
        <f t="shared" si="1"/>
        <v>NA</v>
      </c>
      <c r="K30" s="10" t="str">
        <f t="shared" si="1"/>
        <v>NA</v>
      </c>
      <c r="L30" s="10" t="str">
        <f t="shared" si="2"/>
        <v>NA</v>
      </c>
      <c r="M30" s="10" t="str">
        <f t="shared" si="3"/>
        <v>NA</v>
      </c>
      <c r="N30" s="10" t="str">
        <f t="shared" si="3"/>
        <v>NA</v>
      </c>
      <c r="O30" s="10">
        <f t="shared" ca="1" si="4"/>
        <v>65.077467883873851</v>
      </c>
      <c r="Q30" s="15" t="str">
        <f ca="1"/>
        <v>NA</v>
      </c>
      <c r="R30" s="15" t="str">
        <f ca="1"/>
        <v>NA</v>
      </c>
      <c r="S30" s="15" t="str">
        <f ca="1"/>
        <v>NA</v>
      </c>
      <c r="T30" s="15" t="str">
        <f ca="1"/>
        <v>NA</v>
      </c>
    </row>
    <row r="31" spans="1:20" ht="15.75" thickBot="1" x14ac:dyDescent="0.3">
      <c r="A31">
        <v>28</v>
      </c>
      <c r="B31" s="9" t="s">
        <v>9</v>
      </c>
      <c r="C31" s="8">
        <f t="shared" ca="1" si="0"/>
        <v>95.277155967891701</v>
      </c>
      <c r="D31" s="8"/>
      <c r="E31" s="8">
        <v>28</v>
      </c>
      <c r="F31" s="8" t="s">
        <v>9</v>
      </c>
      <c r="G31" s="8">
        <v>73.454397978502314</v>
      </c>
      <c r="H31" s="8"/>
      <c r="J31" s="10" t="str">
        <f t="shared" si="1"/>
        <v>NA</v>
      </c>
      <c r="K31" s="10">
        <f t="shared" ca="1" si="1"/>
        <v>95.277155967891701</v>
      </c>
      <c r="L31" s="10" t="str">
        <f t="shared" si="2"/>
        <v>NA</v>
      </c>
      <c r="M31" s="10" t="str">
        <f t="shared" si="3"/>
        <v>NA</v>
      </c>
      <c r="N31" s="10" t="str">
        <f t="shared" si="3"/>
        <v>NA</v>
      </c>
      <c r="O31" s="10" t="str">
        <f t="shared" si="4"/>
        <v>NA</v>
      </c>
      <c r="Q31" s="15" t="str">
        <f ca="1"/>
        <v>NA</v>
      </c>
      <c r="R31" s="15">
        <f ca="1"/>
        <v>95.277155967891701</v>
      </c>
      <c r="S31" s="15" t="str">
        <f ca="1"/>
        <v>NA</v>
      </c>
      <c r="T31" s="15" t="str">
        <f ca="1"/>
        <v>NA</v>
      </c>
    </row>
    <row r="32" spans="1:20" ht="15.75" thickBot="1" x14ac:dyDescent="0.3">
      <c r="A32">
        <v>29</v>
      </c>
      <c r="B32" s="9" t="s">
        <v>9</v>
      </c>
      <c r="C32" s="8">
        <f t="shared" ca="1" si="0"/>
        <v>100</v>
      </c>
      <c r="D32" s="8"/>
      <c r="E32" s="8">
        <v>29</v>
      </c>
      <c r="F32" s="8" t="s">
        <v>9</v>
      </c>
      <c r="G32" s="8">
        <v>80.19714010321502</v>
      </c>
      <c r="H32" s="8"/>
      <c r="J32" s="10" t="str">
        <f t="shared" si="1"/>
        <v>NA</v>
      </c>
      <c r="K32" s="10">
        <f t="shared" ca="1" si="1"/>
        <v>100</v>
      </c>
      <c r="L32" s="10" t="str">
        <f t="shared" si="2"/>
        <v>NA</v>
      </c>
      <c r="M32" s="10" t="str">
        <f t="shared" si="3"/>
        <v>NA</v>
      </c>
      <c r="N32" s="10" t="str">
        <f t="shared" si="3"/>
        <v>NA</v>
      </c>
      <c r="O32" s="10" t="str">
        <f t="shared" si="4"/>
        <v>NA</v>
      </c>
      <c r="Q32" s="15" t="str">
        <f ca="1"/>
        <v>NA</v>
      </c>
      <c r="R32" s="15">
        <f ca="1"/>
        <v>100</v>
      </c>
      <c r="S32" s="15" t="str">
        <f ca="1"/>
        <v>NA</v>
      </c>
      <c r="T32" s="15" t="str">
        <f ca="1"/>
        <v>NA</v>
      </c>
    </row>
    <row r="33" spans="1:20" ht="15.75" thickBot="1" x14ac:dyDescent="0.3">
      <c r="A33">
        <v>30</v>
      </c>
      <c r="B33" s="9" t="s">
        <v>9</v>
      </c>
      <c r="C33" s="8">
        <f t="shared" ca="1" si="0"/>
        <v>53.820079245776498</v>
      </c>
      <c r="D33" s="8"/>
      <c r="E33" s="8">
        <v>30</v>
      </c>
      <c r="F33" s="8" t="s">
        <v>9</v>
      </c>
      <c r="G33" s="8">
        <v>100</v>
      </c>
      <c r="H33" s="8"/>
      <c r="J33" s="10" t="str">
        <f t="shared" si="1"/>
        <v>NA</v>
      </c>
      <c r="K33" s="10">
        <f t="shared" ca="1" si="1"/>
        <v>53.820079245776498</v>
      </c>
      <c r="L33" s="10" t="str">
        <f t="shared" si="2"/>
        <v>NA</v>
      </c>
      <c r="M33" s="10" t="str">
        <f t="shared" si="3"/>
        <v>NA</v>
      </c>
      <c r="N33" s="10" t="str">
        <f t="shared" si="3"/>
        <v>NA</v>
      </c>
      <c r="O33" s="10" t="str">
        <f t="shared" si="4"/>
        <v>NA</v>
      </c>
      <c r="Q33" s="15" t="str">
        <f ca="1"/>
        <v>NA</v>
      </c>
      <c r="R33" s="15">
        <f ca="1"/>
        <v>53.820079245776498</v>
      </c>
      <c r="S33" s="15" t="str">
        <f ca="1"/>
        <v>NA</v>
      </c>
      <c r="T33" s="15" t="str">
        <f ca="1"/>
        <v>NA</v>
      </c>
    </row>
    <row r="34" spans="1:20" ht="15.75" thickBot="1" x14ac:dyDescent="0.3">
      <c r="A34">
        <v>31</v>
      </c>
      <c r="B34" s="9" t="s">
        <v>9</v>
      </c>
      <c r="C34" s="8">
        <f t="shared" ca="1" si="0"/>
        <v>100</v>
      </c>
      <c r="D34" s="8"/>
      <c r="E34" s="8">
        <v>31</v>
      </c>
      <c r="F34" s="8" t="s">
        <v>9</v>
      </c>
      <c r="G34" s="8">
        <v>83.775201728332178</v>
      </c>
      <c r="H34" s="8"/>
      <c r="J34" s="10" t="str">
        <f t="shared" si="1"/>
        <v>NA</v>
      </c>
      <c r="K34" s="10">
        <f t="shared" ca="1" si="1"/>
        <v>100</v>
      </c>
      <c r="L34" s="10" t="str">
        <f t="shared" si="2"/>
        <v>NA</v>
      </c>
      <c r="M34" s="10" t="str">
        <f t="shared" si="3"/>
        <v>NA</v>
      </c>
      <c r="N34" s="10" t="str">
        <f t="shared" si="3"/>
        <v>NA</v>
      </c>
      <c r="O34" s="10" t="str">
        <f t="shared" si="4"/>
        <v>NA</v>
      </c>
      <c r="Q34" s="15" t="str">
        <f ca="1"/>
        <v>NA</v>
      </c>
      <c r="R34" s="15">
        <f ca="1"/>
        <v>100</v>
      </c>
      <c r="S34" s="15" t="str">
        <f ca="1"/>
        <v>NA</v>
      </c>
      <c r="T34" s="15" t="str">
        <f ca="1"/>
        <v>NA</v>
      </c>
    </row>
    <row r="35" spans="1:20" ht="15.75" thickBot="1" x14ac:dyDescent="0.3">
      <c r="A35">
        <v>32</v>
      </c>
      <c r="B35" s="9" t="s">
        <v>9</v>
      </c>
      <c r="C35" s="8">
        <f t="shared" ca="1" si="0"/>
        <v>100</v>
      </c>
      <c r="D35" s="8"/>
      <c r="E35" s="8">
        <v>32</v>
      </c>
      <c r="F35" s="8" t="s">
        <v>9</v>
      </c>
      <c r="G35" s="8">
        <v>100</v>
      </c>
      <c r="H35" s="8"/>
      <c r="J35" s="10" t="str">
        <f t="shared" si="1"/>
        <v>NA</v>
      </c>
      <c r="K35" s="10">
        <f t="shared" ca="1" si="1"/>
        <v>100</v>
      </c>
      <c r="L35" s="10" t="str">
        <f t="shared" si="2"/>
        <v>NA</v>
      </c>
      <c r="M35" s="10" t="str">
        <f t="shared" si="3"/>
        <v>NA</v>
      </c>
      <c r="N35" s="10" t="str">
        <f t="shared" si="3"/>
        <v>NA</v>
      </c>
      <c r="O35" s="10" t="str">
        <f t="shared" si="4"/>
        <v>NA</v>
      </c>
      <c r="Q35" s="15" t="str">
        <f ca="1"/>
        <v>NA</v>
      </c>
      <c r="R35" s="15">
        <f ca="1"/>
        <v>100</v>
      </c>
      <c r="S35" s="15" t="str">
        <f ca="1"/>
        <v>NA</v>
      </c>
      <c r="T35" s="15" t="str">
        <f ca="1"/>
        <v>NA</v>
      </c>
    </row>
    <row r="36" spans="1:20" ht="15.75" thickBot="1" x14ac:dyDescent="0.3">
      <c r="A36">
        <v>33</v>
      </c>
      <c r="B36" s="9" t="s">
        <v>9</v>
      </c>
      <c r="C36" s="8">
        <f t="shared" ca="1" si="0"/>
        <v>100</v>
      </c>
      <c r="D36" s="8"/>
      <c r="E36" s="8">
        <v>33</v>
      </c>
      <c r="F36" s="8" t="s">
        <v>9</v>
      </c>
      <c r="G36" s="8">
        <v>3.5413395192188943</v>
      </c>
      <c r="H36" s="8"/>
      <c r="J36" s="10" t="str">
        <f t="shared" si="1"/>
        <v>NA</v>
      </c>
      <c r="K36" s="10">
        <f t="shared" ca="1" si="1"/>
        <v>100</v>
      </c>
      <c r="L36" s="10" t="str">
        <f t="shared" si="2"/>
        <v>NA</v>
      </c>
      <c r="M36" s="10" t="str">
        <f t="shared" si="3"/>
        <v>NA</v>
      </c>
      <c r="N36" s="10" t="str">
        <f t="shared" si="3"/>
        <v>NA</v>
      </c>
      <c r="O36" s="10" t="str">
        <f t="shared" si="4"/>
        <v>NA</v>
      </c>
      <c r="Q36" s="15" t="str">
        <f ca="1"/>
        <v>NA</v>
      </c>
      <c r="R36" s="15">
        <f ca="1"/>
        <v>100</v>
      </c>
      <c r="S36" s="15" t="str">
        <f ca="1"/>
        <v>NA</v>
      </c>
      <c r="T36" s="15" t="str">
        <f ca="1"/>
        <v>NA</v>
      </c>
    </row>
    <row r="37" spans="1:20" ht="15.75" thickBot="1" x14ac:dyDescent="0.3">
      <c r="A37">
        <v>34</v>
      </c>
      <c r="B37" s="9" t="s">
        <v>9</v>
      </c>
      <c r="C37" s="8">
        <f t="shared" ca="1" si="0"/>
        <v>100</v>
      </c>
      <c r="D37" s="8"/>
      <c r="E37" s="8">
        <v>34</v>
      </c>
      <c r="F37" s="8" t="s">
        <v>9</v>
      </c>
      <c r="G37" s="8">
        <v>91.686038822102233</v>
      </c>
      <c r="H37" s="8"/>
      <c r="J37" s="10" t="str">
        <f t="shared" si="1"/>
        <v>NA</v>
      </c>
      <c r="K37" s="10">
        <f t="shared" ca="1" si="1"/>
        <v>100</v>
      </c>
      <c r="L37" s="10" t="str">
        <f t="shared" si="2"/>
        <v>NA</v>
      </c>
      <c r="M37" s="10" t="str">
        <f t="shared" si="3"/>
        <v>NA</v>
      </c>
      <c r="N37" s="10" t="str">
        <f t="shared" si="3"/>
        <v>NA</v>
      </c>
      <c r="O37" s="10" t="str">
        <f t="shared" si="4"/>
        <v>NA</v>
      </c>
      <c r="Q37" s="15" t="str">
        <f ca="1"/>
        <v>NA</v>
      </c>
      <c r="R37" s="15">
        <f ca="1"/>
        <v>100</v>
      </c>
      <c r="S37" s="15" t="str">
        <f ca="1"/>
        <v>NA</v>
      </c>
      <c r="T37" s="15" t="str">
        <f ca="1"/>
        <v>NA</v>
      </c>
    </row>
    <row r="38" spans="1:20" ht="15.75" thickBot="1" x14ac:dyDescent="0.3">
      <c r="A38">
        <v>35</v>
      </c>
      <c r="B38" s="9" t="s">
        <v>11</v>
      </c>
      <c r="C38" s="8">
        <f t="shared" ca="1" si="0"/>
        <v>86.637955657739752</v>
      </c>
      <c r="D38" s="8"/>
      <c r="E38" s="8">
        <v>35</v>
      </c>
      <c r="F38" s="8" t="s">
        <v>11</v>
      </c>
      <c r="G38" s="8">
        <v>100</v>
      </c>
      <c r="H38" s="8"/>
      <c r="J38" s="10" t="str">
        <f t="shared" si="1"/>
        <v>NA</v>
      </c>
      <c r="K38" s="10" t="str">
        <f t="shared" si="1"/>
        <v>NA</v>
      </c>
      <c r="L38" s="10" t="str">
        <f t="shared" si="2"/>
        <v>NA</v>
      </c>
      <c r="M38" s="10">
        <f t="shared" ca="1" si="3"/>
        <v>86.637955657739752</v>
      </c>
      <c r="N38" s="10" t="str">
        <f t="shared" si="3"/>
        <v>NA</v>
      </c>
      <c r="O38" s="10" t="str">
        <f t="shared" si="4"/>
        <v>NA</v>
      </c>
      <c r="Q38" s="15" t="str">
        <f ca="1"/>
        <v>NA</v>
      </c>
      <c r="R38" s="15" t="str">
        <f ca="1"/>
        <v>NA</v>
      </c>
      <c r="S38" s="15">
        <f ca="1"/>
        <v>86.637955657739752</v>
      </c>
      <c r="T38" s="15" t="str">
        <f ca="1"/>
        <v>NA</v>
      </c>
    </row>
    <row r="39" spans="1:20" ht="15.75" thickBot="1" x14ac:dyDescent="0.3">
      <c r="A39">
        <v>36</v>
      </c>
      <c r="B39" s="9" t="s">
        <v>16</v>
      </c>
      <c r="C39" s="8">
        <f t="shared" ca="1" si="0"/>
        <v>62.611601242630762</v>
      </c>
      <c r="D39" s="8"/>
      <c r="E39" s="8">
        <v>36</v>
      </c>
      <c r="F39" s="8" t="s">
        <v>16</v>
      </c>
      <c r="G39" s="8">
        <v>87.537620850876394</v>
      </c>
      <c r="H39" s="8"/>
      <c r="J39" s="10" t="str">
        <f t="shared" si="1"/>
        <v>NA</v>
      </c>
      <c r="K39" s="10" t="str">
        <f t="shared" si="1"/>
        <v>NA</v>
      </c>
      <c r="L39" s="10">
        <f t="shared" ca="1" si="2"/>
        <v>62.611601242630762</v>
      </c>
      <c r="M39" s="10" t="str">
        <f t="shared" si="3"/>
        <v>NA</v>
      </c>
      <c r="N39" s="10" t="str">
        <f t="shared" si="3"/>
        <v>NA</v>
      </c>
      <c r="O39" s="10" t="str">
        <f t="shared" si="4"/>
        <v>NA</v>
      </c>
      <c r="Q39" s="15" t="str">
        <f ca="1"/>
        <v>NA</v>
      </c>
      <c r="R39" s="15" t="str">
        <f ca="1"/>
        <v>NA</v>
      </c>
      <c r="S39" s="15" t="str">
        <f ca="1"/>
        <v>NA</v>
      </c>
      <c r="T39" s="15" t="str">
        <f ca="1"/>
        <v>NA</v>
      </c>
    </row>
    <row r="40" spans="1:20" ht="15.75" thickBot="1" x14ac:dyDescent="0.3">
      <c r="A40">
        <v>37</v>
      </c>
      <c r="B40" s="9" t="s">
        <v>12</v>
      </c>
      <c r="C40" s="8">
        <f t="shared" ca="1" si="0"/>
        <v>100</v>
      </c>
      <c r="D40" s="8"/>
      <c r="E40" s="8">
        <v>37</v>
      </c>
      <c r="F40" s="8" t="s">
        <v>12</v>
      </c>
      <c r="G40" s="8">
        <v>56.221238531679887</v>
      </c>
      <c r="H40" s="8"/>
      <c r="J40" s="10" t="str">
        <f t="shared" si="1"/>
        <v>NA</v>
      </c>
      <c r="K40" s="10" t="str">
        <f t="shared" si="1"/>
        <v>NA</v>
      </c>
      <c r="L40" s="10" t="str">
        <f t="shared" si="2"/>
        <v>NA</v>
      </c>
      <c r="M40" s="10" t="str">
        <f t="shared" si="3"/>
        <v>NA</v>
      </c>
      <c r="N40" s="10">
        <f t="shared" ca="1" si="3"/>
        <v>100</v>
      </c>
      <c r="O40" s="10" t="str">
        <f t="shared" si="4"/>
        <v>NA</v>
      </c>
      <c r="Q40" s="15" t="str">
        <f ca="1"/>
        <v>NA</v>
      </c>
      <c r="R40" s="15" t="str">
        <f ca="1"/>
        <v>NA</v>
      </c>
      <c r="S40" s="15" t="str">
        <f ca="1"/>
        <v>NA</v>
      </c>
      <c r="T40" s="15">
        <f ca="1"/>
        <v>100</v>
      </c>
    </row>
    <row r="41" spans="1:20" ht="15.75" thickBot="1" x14ac:dyDescent="0.3">
      <c r="A41">
        <v>38</v>
      </c>
      <c r="B41" s="9" t="s">
        <v>18</v>
      </c>
      <c r="C41" s="8">
        <f t="shared" ca="1" si="0"/>
        <v>89.611976577603372</v>
      </c>
      <c r="D41" s="8"/>
      <c r="E41" s="8">
        <v>38</v>
      </c>
      <c r="F41" s="8" t="s">
        <v>18</v>
      </c>
      <c r="G41" s="8">
        <v>100</v>
      </c>
      <c r="H41" s="8"/>
      <c r="J41" s="10" t="str">
        <f t="shared" si="1"/>
        <v>NA</v>
      </c>
      <c r="K41" s="10" t="str">
        <f t="shared" si="1"/>
        <v>NA</v>
      </c>
      <c r="L41" s="10" t="str">
        <f t="shared" si="2"/>
        <v>NA</v>
      </c>
      <c r="M41" s="10" t="str">
        <f t="shared" si="3"/>
        <v>NA</v>
      </c>
      <c r="N41" s="10" t="str">
        <f t="shared" si="3"/>
        <v>NA</v>
      </c>
      <c r="O41" s="10">
        <f t="shared" ca="1" si="4"/>
        <v>89.611976577603372</v>
      </c>
      <c r="Q41" s="15" t="str">
        <f ca="1"/>
        <v>NA</v>
      </c>
      <c r="R41" s="15" t="str">
        <f ca="1"/>
        <v>NA</v>
      </c>
      <c r="S41" s="15" t="str">
        <f ca="1"/>
        <v>NA</v>
      </c>
      <c r="T41" s="15" t="str">
        <f ca="1"/>
        <v>NA</v>
      </c>
    </row>
    <row r="42" spans="1:20" ht="15.75" thickBot="1" x14ac:dyDescent="0.3">
      <c r="A42">
        <v>39</v>
      </c>
      <c r="B42" s="9" t="s">
        <v>20</v>
      </c>
      <c r="C42" s="8">
        <f t="shared" ca="1" si="0"/>
        <v>100</v>
      </c>
      <c r="D42" s="8"/>
      <c r="E42" s="8">
        <v>39</v>
      </c>
      <c r="F42" s="8" t="s">
        <v>20</v>
      </c>
      <c r="G42" s="8">
        <v>76.523374536406138</v>
      </c>
      <c r="H42" s="8"/>
      <c r="J42" s="10">
        <f t="shared" ca="1" si="1"/>
        <v>100</v>
      </c>
      <c r="K42" s="10" t="str">
        <f t="shared" si="1"/>
        <v>NA</v>
      </c>
      <c r="L42" s="10" t="str">
        <f t="shared" si="2"/>
        <v>NA</v>
      </c>
      <c r="M42" s="10" t="str">
        <f t="shared" si="3"/>
        <v>NA</v>
      </c>
      <c r="N42" s="10" t="str">
        <f t="shared" si="3"/>
        <v>NA</v>
      </c>
      <c r="O42" s="10" t="str">
        <f t="shared" si="4"/>
        <v>NA</v>
      </c>
      <c r="Q42" s="15">
        <f ca="1"/>
        <v>100</v>
      </c>
      <c r="R42" s="15" t="str">
        <f ca="1"/>
        <v>NA</v>
      </c>
      <c r="S42" s="15" t="str">
        <f ca="1"/>
        <v>NA</v>
      </c>
      <c r="T42" s="15" t="str">
        <f ca="1"/>
        <v>NA</v>
      </c>
    </row>
    <row r="43" spans="1:20" ht="15.75" thickBot="1" x14ac:dyDescent="0.3">
      <c r="A43">
        <v>40</v>
      </c>
      <c r="B43" s="9" t="s">
        <v>12</v>
      </c>
      <c r="C43" s="8">
        <f t="shared" ca="1" si="0"/>
        <v>100</v>
      </c>
      <c r="D43" s="8"/>
      <c r="E43" s="8">
        <v>40</v>
      </c>
      <c r="F43" s="8" t="s">
        <v>12</v>
      </c>
      <c r="G43" s="8">
        <v>57.346571010510431</v>
      </c>
      <c r="H43" s="8"/>
      <c r="J43" s="10" t="str">
        <f t="shared" si="1"/>
        <v>NA</v>
      </c>
      <c r="K43" s="10" t="str">
        <f t="shared" si="1"/>
        <v>NA</v>
      </c>
      <c r="L43" s="10" t="str">
        <f t="shared" si="2"/>
        <v>NA</v>
      </c>
      <c r="M43" s="10" t="str">
        <f t="shared" si="3"/>
        <v>NA</v>
      </c>
      <c r="N43" s="10">
        <f t="shared" ca="1" si="3"/>
        <v>100</v>
      </c>
      <c r="O43" s="10" t="str">
        <f t="shared" si="4"/>
        <v>NA</v>
      </c>
      <c r="Q43" s="15" t="str">
        <f ca="1"/>
        <v>NA</v>
      </c>
      <c r="R43" s="15" t="str">
        <f ca="1"/>
        <v>NA</v>
      </c>
      <c r="S43" s="15" t="str">
        <f ca="1"/>
        <v>NA</v>
      </c>
      <c r="T43" s="15">
        <f ca="1"/>
        <v>100</v>
      </c>
    </row>
    <row r="44" spans="1:20" ht="15.75" thickBot="1" x14ac:dyDescent="0.3">
      <c r="A44">
        <v>41</v>
      </c>
      <c r="B44" s="9" t="s">
        <v>18</v>
      </c>
      <c r="C44" s="8">
        <f t="shared" ca="1" si="0"/>
        <v>56.032583117116573</v>
      </c>
      <c r="D44" s="8"/>
      <c r="E44" s="8">
        <v>41</v>
      </c>
      <c r="F44" s="8" t="s">
        <v>18</v>
      </c>
      <c r="G44" s="8">
        <v>100</v>
      </c>
      <c r="H44" s="8"/>
      <c r="J44" s="10" t="str">
        <f t="shared" si="1"/>
        <v>NA</v>
      </c>
      <c r="K44" s="10" t="str">
        <f t="shared" si="1"/>
        <v>NA</v>
      </c>
      <c r="L44" s="10" t="str">
        <f t="shared" si="2"/>
        <v>NA</v>
      </c>
      <c r="M44" s="10" t="str">
        <f t="shared" si="3"/>
        <v>NA</v>
      </c>
      <c r="N44" s="10" t="str">
        <f t="shared" si="3"/>
        <v>NA</v>
      </c>
      <c r="O44" s="10">
        <f t="shared" ca="1" si="4"/>
        <v>56.032583117116573</v>
      </c>
      <c r="Q44" s="15" t="str">
        <f ca="1"/>
        <v>NA</v>
      </c>
      <c r="R44" s="15" t="str">
        <f ca="1"/>
        <v>NA</v>
      </c>
      <c r="S44" s="15" t="str">
        <f ca="1"/>
        <v>NA</v>
      </c>
      <c r="T44" s="15" t="str">
        <f ca="1"/>
        <v>NA</v>
      </c>
    </row>
    <row r="45" spans="1:20" ht="15.75" thickBot="1" x14ac:dyDescent="0.3">
      <c r="A45">
        <v>42</v>
      </c>
      <c r="B45" s="9" t="s">
        <v>20</v>
      </c>
      <c r="C45" s="8">
        <f t="shared" ca="1" si="0"/>
        <v>100</v>
      </c>
      <c r="D45" s="8"/>
      <c r="E45" s="8">
        <v>42</v>
      </c>
      <c r="F45" s="8" t="s">
        <v>20</v>
      </c>
      <c r="G45" s="8">
        <v>52.238020121505535</v>
      </c>
      <c r="H45" s="8"/>
      <c r="J45" s="10">
        <f t="shared" ca="1" si="1"/>
        <v>100</v>
      </c>
      <c r="K45" s="10" t="str">
        <f t="shared" si="1"/>
        <v>NA</v>
      </c>
      <c r="L45" s="10" t="str">
        <f t="shared" si="2"/>
        <v>NA</v>
      </c>
      <c r="M45" s="10" t="str">
        <f t="shared" si="3"/>
        <v>NA</v>
      </c>
      <c r="N45" s="10" t="str">
        <f t="shared" si="3"/>
        <v>NA</v>
      </c>
      <c r="O45" s="10" t="str">
        <f t="shared" si="4"/>
        <v>NA</v>
      </c>
      <c r="Q45" s="15">
        <f ca="1"/>
        <v>100</v>
      </c>
      <c r="R45" s="15" t="str">
        <f ca="1"/>
        <v>NA</v>
      </c>
      <c r="S45" s="15" t="str">
        <f ca="1"/>
        <v>NA</v>
      </c>
      <c r="T45" s="15" t="str">
        <f ca="1"/>
        <v>NA</v>
      </c>
    </row>
    <row r="46" spans="1:20" ht="15.75" thickBot="1" x14ac:dyDescent="0.3">
      <c r="A46">
        <v>43</v>
      </c>
      <c r="B46" s="9" t="s">
        <v>12</v>
      </c>
      <c r="C46" s="8">
        <f t="shared" ca="1" si="0"/>
        <v>100</v>
      </c>
      <c r="D46" s="8"/>
      <c r="E46" s="8">
        <v>43</v>
      </c>
      <c r="F46" s="8" t="s">
        <v>12</v>
      </c>
      <c r="G46" s="8">
        <v>100</v>
      </c>
      <c r="H46" s="8"/>
      <c r="J46" s="10" t="str">
        <f t="shared" si="1"/>
        <v>NA</v>
      </c>
      <c r="K46" s="10" t="str">
        <f t="shared" si="1"/>
        <v>NA</v>
      </c>
      <c r="L46" s="10" t="str">
        <f t="shared" si="2"/>
        <v>NA</v>
      </c>
      <c r="M46" s="10" t="str">
        <f t="shared" si="3"/>
        <v>NA</v>
      </c>
      <c r="N46" s="10">
        <f t="shared" ca="1" si="3"/>
        <v>100</v>
      </c>
      <c r="O46" s="10" t="str">
        <f t="shared" si="4"/>
        <v>NA</v>
      </c>
      <c r="Q46" s="15" t="str">
        <f ca="1"/>
        <v>NA</v>
      </c>
      <c r="R46" s="15" t="str">
        <f ca="1"/>
        <v>NA</v>
      </c>
      <c r="S46" s="15" t="str">
        <f ca="1"/>
        <v>NA</v>
      </c>
      <c r="T46" s="15">
        <f ca="1"/>
        <v>100</v>
      </c>
    </row>
    <row r="47" spans="1:20" ht="15.75" thickBot="1" x14ac:dyDescent="0.3">
      <c r="A47">
        <v>44</v>
      </c>
      <c r="B47" s="9" t="s">
        <v>18</v>
      </c>
      <c r="C47" s="8">
        <f t="shared" ca="1" si="0"/>
        <v>70.236803295832374</v>
      </c>
      <c r="D47" s="8"/>
      <c r="E47" s="8">
        <v>44</v>
      </c>
      <c r="F47" s="8" t="s">
        <v>18</v>
      </c>
      <c r="G47" s="8">
        <v>75.067431691992695</v>
      </c>
      <c r="H47" s="8"/>
      <c r="J47" s="10" t="str">
        <f t="shared" si="1"/>
        <v>NA</v>
      </c>
      <c r="K47" s="10" t="str">
        <f t="shared" si="1"/>
        <v>NA</v>
      </c>
      <c r="L47" s="10" t="str">
        <f t="shared" si="2"/>
        <v>NA</v>
      </c>
      <c r="M47" s="10" t="str">
        <f t="shared" si="3"/>
        <v>NA</v>
      </c>
      <c r="N47" s="10" t="str">
        <f t="shared" si="3"/>
        <v>NA</v>
      </c>
      <c r="O47" s="10">
        <f t="shared" ca="1" si="4"/>
        <v>70.236803295832374</v>
      </c>
      <c r="Q47" s="15" t="str">
        <f ca="1"/>
        <v>NA</v>
      </c>
      <c r="R47" s="15" t="str">
        <f ca="1"/>
        <v>NA</v>
      </c>
      <c r="S47" s="15" t="str">
        <f ca="1"/>
        <v>NA</v>
      </c>
      <c r="T47" s="15" t="str">
        <f ca="1"/>
        <v>NA</v>
      </c>
    </row>
    <row r="48" spans="1:20" ht="15.75" thickBot="1" x14ac:dyDescent="0.3">
      <c r="A48">
        <v>45</v>
      </c>
      <c r="B48" s="9" t="s">
        <v>20</v>
      </c>
      <c r="C48" s="8">
        <f t="shared" ca="1" si="0"/>
        <v>61.67809870572551</v>
      </c>
      <c r="D48" s="8"/>
      <c r="E48" s="8">
        <v>45</v>
      </c>
      <c r="F48" s="8" t="s">
        <v>20</v>
      </c>
      <c r="G48" s="8">
        <v>13.122346600785761</v>
      </c>
      <c r="H48" s="8"/>
      <c r="J48" s="10">
        <f t="shared" ca="1" si="1"/>
        <v>61.67809870572551</v>
      </c>
      <c r="K48" s="10" t="str">
        <f t="shared" si="1"/>
        <v>NA</v>
      </c>
      <c r="L48" s="10" t="str">
        <f t="shared" si="2"/>
        <v>NA</v>
      </c>
      <c r="M48" s="10" t="str">
        <f t="shared" si="3"/>
        <v>NA</v>
      </c>
      <c r="N48" s="10" t="str">
        <f t="shared" si="3"/>
        <v>NA</v>
      </c>
      <c r="O48" s="10" t="str">
        <f t="shared" si="4"/>
        <v>NA</v>
      </c>
      <c r="Q48" s="15">
        <f ca="1"/>
        <v>61.67809870572551</v>
      </c>
      <c r="R48" s="15" t="str">
        <f ca="1"/>
        <v>NA</v>
      </c>
      <c r="S48" s="15" t="str">
        <f ca="1"/>
        <v>NA</v>
      </c>
      <c r="T48" s="15" t="str">
        <f ca="1"/>
        <v>NA</v>
      </c>
    </row>
    <row r="49" spans="1:20" ht="15.75" thickBot="1" x14ac:dyDescent="0.3">
      <c r="A49">
        <v>46</v>
      </c>
      <c r="B49" s="9" t="s">
        <v>12</v>
      </c>
      <c r="C49" s="8">
        <f t="shared" ca="1" si="0"/>
        <v>100</v>
      </c>
      <c r="D49" s="8"/>
      <c r="E49" s="8">
        <v>46</v>
      </c>
      <c r="F49" s="8" t="s">
        <v>12</v>
      </c>
      <c r="G49" s="8">
        <v>61.309780290529034</v>
      </c>
      <c r="H49" s="8"/>
      <c r="J49" s="10" t="str">
        <f t="shared" si="1"/>
        <v>NA</v>
      </c>
      <c r="K49" s="10" t="str">
        <f t="shared" si="1"/>
        <v>NA</v>
      </c>
      <c r="L49" s="10" t="str">
        <f t="shared" si="2"/>
        <v>NA</v>
      </c>
      <c r="M49" s="10" t="str">
        <f t="shared" si="3"/>
        <v>NA</v>
      </c>
      <c r="N49" s="10">
        <f t="shared" ca="1" si="3"/>
        <v>100</v>
      </c>
      <c r="O49" s="10" t="str">
        <f t="shared" si="4"/>
        <v>NA</v>
      </c>
      <c r="Q49" s="15" t="str">
        <f ca="1"/>
        <v>NA</v>
      </c>
      <c r="R49" s="15" t="str">
        <f ca="1"/>
        <v>NA</v>
      </c>
      <c r="S49" s="15" t="str">
        <f ca="1"/>
        <v>NA</v>
      </c>
      <c r="T49" s="15">
        <f ca="1"/>
        <v>100</v>
      </c>
    </row>
    <row r="50" spans="1:20" ht="15.75" thickBot="1" x14ac:dyDescent="0.3">
      <c r="A50">
        <v>47</v>
      </c>
      <c r="B50" s="9" t="s">
        <v>13</v>
      </c>
      <c r="C50" s="8">
        <f t="shared" ca="1" si="0"/>
        <v>12.771759033017645</v>
      </c>
      <c r="D50" s="8"/>
      <c r="E50" s="8">
        <v>47</v>
      </c>
      <c r="F50" s="8" t="s">
        <v>13</v>
      </c>
      <c r="G50" s="8">
        <v>68.00337200309049</v>
      </c>
      <c r="H50" s="8"/>
      <c r="J50" s="10" t="str">
        <f t="shared" si="1"/>
        <v>NA</v>
      </c>
      <c r="K50" s="10" t="str">
        <f t="shared" si="1"/>
        <v>NA</v>
      </c>
      <c r="L50" s="10">
        <f t="shared" ca="1" si="2"/>
        <v>12.771759033017645</v>
      </c>
      <c r="M50" s="10" t="str">
        <f t="shared" si="3"/>
        <v>NA</v>
      </c>
      <c r="N50" s="10" t="str">
        <f t="shared" si="3"/>
        <v>NA</v>
      </c>
      <c r="O50" s="10" t="str">
        <f t="shared" si="4"/>
        <v>NA</v>
      </c>
      <c r="Q50" s="15" t="str">
        <f ca="1"/>
        <v>NA</v>
      </c>
      <c r="R50" s="15" t="str">
        <f ca="1"/>
        <v>NA</v>
      </c>
      <c r="S50" s="15" t="str">
        <f ca="1"/>
        <v>NA</v>
      </c>
      <c r="T50" s="15" t="str">
        <f ca="1"/>
        <v>NA</v>
      </c>
    </row>
    <row r="51" spans="1:20" ht="15.75" thickBot="1" x14ac:dyDescent="0.3">
      <c r="A51">
        <v>48</v>
      </c>
      <c r="B51" s="9" t="s">
        <v>15</v>
      </c>
      <c r="C51" s="8">
        <f t="shared" ca="1" si="0"/>
        <v>100</v>
      </c>
      <c r="D51" s="8"/>
      <c r="E51" s="8">
        <v>48</v>
      </c>
      <c r="F51" s="8" t="s">
        <v>15</v>
      </c>
      <c r="G51" s="8">
        <v>90.51146350831381</v>
      </c>
      <c r="H51" s="8"/>
      <c r="J51" s="10" t="str">
        <f t="shared" si="1"/>
        <v>NA</v>
      </c>
      <c r="K51" s="10" t="str">
        <f t="shared" si="1"/>
        <v>NA</v>
      </c>
      <c r="L51" s="10">
        <f t="shared" ca="1" si="2"/>
        <v>100</v>
      </c>
      <c r="M51" s="10" t="str">
        <f t="shared" si="3"/>
        <v>NA</v>
      </c>
      <c r="N51" s="10" t="str">
        <f t="shared" si="3"/>
        <v>NA</v>
      </c>
      <c r="O51" s="10" t="str">
        <f t="shared" si="4"/>
        <v>NA</v>
      </c>
      <c r="Q51" s="15" t="str">
        <f ca="1"/>
        <v>NA</v>
      </c>
      <c r="R51" s="15" t="str">
        <f ca="1"/>
        <v>NA</v>
      </c>
      <c r="S51" s="15" t="str">
        <f ca="1"/>
        <v>NA</v>
      </c>
      <c r="T51" s="15" t="str">
        <f ca="1"/>
        <v>NA</v>
      </c>
    </row>
    <row r="52" spans="1:20" ht="15.75" thickBot="1" x14ac:dyDescent="0.3">
      <c r="A52">
        <v>49</v>
      </c>
      <c r="B52" s="9" t="s">
        <v>16</v>
      </c>
      <c r="C52" s="8">
        <f t="shared" ca="1" si="0"/>
        <v>77.393399277277126</v>
      </c>
      <c r="D52" s="8"/>
      <c r="E52" s="8">
        <v>49</v>
      </c>
      <c r="F52" s="8" t="s">
        <v>16</v>
      </c>
      <c r="G52" s="8">
        <v>100</v>
      </c>
      <c r="H52" s="8"/>
      <c r="J52" s="10" t="str">
        <f t="shared" si="1"/>
        <v>NA</v>
      </c>
      <c r="K52" s="10" t="str">
        <f t="shared" si="1"/>
        <v>NA</v>
      </c>
      <c r="L52" s="10">
        <f t="shared" ca="1" si="2"/>
        <v>77.393399277277126</v>
      </c>
      <c r="M52" s="10" t="str">
        <f t="shared" si="3"/>
        <v>NA</v>
      </c>
      <c r="N52" s="10" t="str">
        <f t="shared" si="3"/>
        <v>NA</v>
      </c>
      <c r="O52" s="10" t="str">
        <f t="shared" si="4"/>
        <v>NA</v>
      </c>
      <c r="Q52" s="15" t="str">
        <f ca="1"/>
        <v>NA</v>
      </c>
      <c r="R52" s="15" t="str">
        <f ca="1"/>
        <v>NA</v>
      </c>
      <c r="S52" s="15" t="str">
        <f ca="1"/>
        <v>NA</v>
      </c>
      <c r="T52" s="15" t="str">
        <f ca="1"/>
        <v>NA</v>
      </c>
    </row>
    <row r="53" spans="1:20" ht="15.75" thickBot="1" x14ac:dyDescent="0.3">
      <c r="A53">
        <v>50</v>
      </c>
      <c r="B53" s="9" t="s">
        <v>11</v>
      </c>
      <c r="C53" s="8">
        <f t="shared" ca="1" si="0"/>
        <v>8.999832111011699</v>
      </c>
      <c r="D53" s="8"/>
      <c r="E53" s="8">
        <v>50</v>
      </c>
      <c r="F53" s="8" t="s">
        <v>11</v>
      </c>
      <c r="G53" s="8">
        <v>79.641361725358792</v>
      </c>
      <c r="H53" s="8"/>
      <c r="J53" s="10" t="str">
        <f t="shared" si="1"/>
        <v>NA</v>
      </c>
      <c r="K53" s="10" t="str">
        <f t="shared" si="1"/>
        <v>NA</v>
      </c>
      <c r="L53" s="10" t="str">
        <f t="shared" si="2"/>
        <v>NA</v>
      </c>
      <c r="M53" s="10">
        <f t="shared" ca="1" si="3"/>
        <v>8.999832111011699</v>
      </c>
      <c r="N53" s="10" t="str">
        <f t="shared" si="3"/>
        <v>NA</v>
      </c>
      <c r="O53" s="10" t="str">
        <f t="shared" si="4"/>
        <v>NA</v>
      </c>
      <c r="Q53" s="15" t="str">
        <f ca="1"/>
        <v>NA</v>
      </c>
      <c r="R53" s="15" t="str">
        <f ca="1"/>
        <v>NA</v>
      </c>
      <c r="S53" s="15">
        <f ca="1"/>
        <v>8.999832111011699</v>
      </c>
      <c r="T53" s="15" t="str">
        <f ca="1"/>
        <v>NA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Catherine Sansarricq</dc:creator>
  <cp:lastModifiedBy>Catherine Sansarricq</cp:lastModifiedBy>
  <dcterms:created xsi:type="dcterms:W3CDTF">2024-03-10T18:12:43Z</dcterms:created>
  <dcterms:modified xsi:type="dcterms:W3CDTF">2024-10-01T18:18:06Z</dcterms:modified>
</cp:coreProperties>
</file>